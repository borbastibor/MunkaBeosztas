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orbi\Documents\Projects\MunkaBeosztas\"/>
    </mc:Choice>
  </mc:AlternateContent>
  <xr:revisionPtr revIDLastSave="0" documentId="13_ncr:1_{D805630E-C285-46D7-AD0E-A92E91A5FB95}" xr6:coauthVersionLast="44" xr6:coauthVersionMax="44" xr10:uidLastSave="{00000000-0000-0000-0000-000000000000}"/>
  <bookViews>
    <workbookView xWindow="-120" yWindow="-120" windowWidth="20730" windowHeight="11160" firstSheet="18" activeTab="21" xr2:uid="{00000000-000D-0000-FFFF-FFFF00000000}"/>
  </bookViews>
  <sheets>
    <sheet name="04.01-04.07" sheetId="1" r:id="rId1"/>
    <sheet name="04.08-04.14" sheetId="2" r:id="rId2"/>
    <sheet name="04.15-04.21" sheetId="3" r:id="rId3"/>
    <sheet name="04.22-04.28" sheetId="4" r:id="rId4"/>
    <sheet name="04.29-05.05" sheetId="5" r:id="rId5"/>
    <sheet name="05.06-05.12" sheetId="6" r:id="rId6"/>
    <sheet name="05.13-05.19" sheetId="7" r:id="rId7"/>
    <sheet name="05.20-05.26" sheetId="8" r:id="rId8"/>
    <sheet name="05.27-06.02" sheetId="9" r:id="rId9"/>
    <sheet name="06.03-06.09" sheetId="10" r:id="rId10"/>
    <sheet name="06.10-06.16" sheetId="11" r:id="rId11"/>
    <sheet name="06.17-06.23" sheetId="12" r:id="rId12"/>
    <sheet name="06.24-06.30" sheetId="13" r:id="rId13"/>
    <sheet name="07.01-07.07" sheetId="14" r:id="rId14"/>
    <sheet name="07.08-07.14" sheetId="15" r:id="rId15"/>
    <sheet name="07.15-07.21" sheetId="16" r:id="rId16"/>
    <sheet name="07.22-07.28" sheetId="17" r:id="rId17"/>
    <sheet name="07.29-08.04" sheetId="18" r:id="rId18"/>
    <sheet name="08.05-08.11" sheetId="19" r:id="rId19"/>
    <sheet name="08.12-08.18" sheetId="20" r:id="rId20"/>
    <sheet name="08.19-08.25" sheetId="21" r:id="rId21"/>
    <sheet name="08.26-09.01" sheetId="42" r:id="rId22"/>
    <sheet name="09.02-09.08" sheetId="41" r:id="rId23"/>
    <sheet name="09.09-09.15" sheetId="24" r:id="rId24"/>
    <sheet name="09.16-09.22" sheetId="25" r:id="rId25"/>
    <sheet name="09.23-09.29" sheetId="26" r:id="rId26"/>
    <sheet name="09.30-10.06" sheetId="27" r:id="rId27"/>
    <sheet name="10.07-10.13" sheetId="28" r:id="rId28"/>
    <sheet name="10.14-10.20" sheetId="29" r:id="rId29"/>
    <sheet name="10.21-10.27" sheetId="30" r:id="rId30"/>
    <sheet name="10.28-11.03" sheetId="31" r:id="rId31"/>
    <sheet name="11.04-11.10" sheetId="32" r:id="rId32"/>
    <sheet name="11.11-11.17" sheetId="33" r:id="rId33"/>
    <sheet name="11.18-11.24" sheetId="34" r:id="rId34"/>
    <sheet name="11.25-12.01" sheetId="35" r:id="rId35"/>
    <sheet name="12.02-12.08" sheetId="36" r:id="rId36"/>
    <sheet name="12.09-12.15" sheetId="37" r:id="rId37"/>
    <sheet name="12.16-12.22" sheetId="38" r:id="rId38"/>
    <sheet name="12.23-12.29" sheetId="39" r:id="rId39"/>
  </sheets>
  <definedNames>
    <definedName name="_xlnm.Print_Titles" localSheetId="0">'04.01-04.07'!$1:$1</definedName>
    <definedName name="_xlnm.Print_Titles" localSheetId="2">'04.15-04.21'!$1:$1</definedName>
    <definedName name="_xlnm.Print_Titles" localSheetId="3">'04.22-04.28'!$1:$1</definedName>
    <definedName name="_xlnm.Print_Titles" localSheetId="4">'04.29-05.05'!$1:$1</definedName>
    <definedName name="_xlnm.Print_Titles" localSheetId="5">'05.06-05.12'!$1:$1</definedName>
    <definedName name="_xlnm.Print_Titles" localSheetId="6">'05.13-05.19'!$1:$1</definedName>
    <definedName name="_xlnm.Print_Titles" localSheetId="7">'05.20-05.26'!$1:$1</definedName>
    <definedName name="_xlnm.Print_Titles" localSheetId="8">'05.27-06.02'!$1:$1</definedName>
    <definedName name="_xlnm.Print_Titles" localSheetId="9">'06.03-06.09'!$1:$1</definedName>
    <definedName name="_xlnm.Print_Titles" localSheetId="10">'06.10-06.16'!$1:$1</definedName>
    <definedName name="_xlnm.Print_Titles" localSheetId="11">'06.17-06.23'!$1:$1</definedName>
    <definedName name="_xlnm.Print_Titles" localSheetId="12">'06.24-06.30'!$1:$1</definedName>
    <definedName name="_xlnm.Print_Titles" localSheetId="13">'07.01-07.07'!$1:$1</definedName>
    <definedName name="_xlnm.Print_Titles" localSheetId="14">'07.08-07.14'!$1:$1</definedName>
    <definedName name="_xlnm.Print_Titles" localSheetId="15">'07.15-07.21'!$1:$1</definedName>
    <definedName name="_xlnm.Print_Titles" localSheetId="16">'07.22-07.28'!$1:$1</definedName>
    <definedName name="_xlnm.Print_Titles" localSheetId="17">'07.29-08.04'!$1:$1</definedName>
    <definedName name="_xlnm.Print_Titles" localSheetId="18">'08.05-08.11'!$1:$1</definedName>
    <definedName name="_xlnm.Print_Titles" localSheetId="19">'08.12-08.18'!$1:$1</definedName>
    <definedName name="_xlnm.Print_Titles" localSheetId="20">'08.19-08.25'!$1:$1</definedName>
    <definedName name="_xlnm.Print_Titles" localSheetId="21">'08.26-09.01'!$1:$1</definedName>
    <definedName name="_xlnm.Print_Titles" localSheetId="22">'09.02-09.08'!$1:$1</definedName>
    <definedName name="_xlnm.Print_Titles" localSheetId="23">'09.09-09.15'!$1:$1</definedName>
    <definedName name="_xlnm.Print_Titles" localSheetId="24">'09.16-09.22'!$1:$1</definedName>
    <definedName name="_xlnm.Print_Titles" localSheetId="25">'09.23-09.29'!$1:$1</definedName>
    <definedName name="_xlnm.Print_Titles" localSheetId="26">'09.30-10.06'!$1:$1</definedName>
    <definedName name="_xlnm.Print_Titles" localSheetId="27">'10.07-10.13'!$1:$1</definedName>
    <definedName name="_xlnm.Print_Titles" localSheetId="28">'10.14-10.20'!$1:$1</definedName>
    <definedName name="_xlnm.Print_Titles" localSheetId="29">'10.21-10.27'!$1:$1</definedName>
    <definedName name="_xlnm.Print_Titles" localSheetId="30">'10.28-11.03'!$1:$1</definedName>
    <definedName name="_xlnm.Print_Titles" localSheetId="31">'11.04-11.10'!$1:$1</definedName>
    <definedName name="_xlnm.Print_Titles" localSheetId="32">'11.11-11.17'!$1:$1</definedName>
    <definedName name="_xlnm.Print_Titles" localSheetId="33">'11.18-11.24'!$1:$1</definedName>
    <definedName name="_xlnm.Print_Titles" localSheetId="34">'11.25-12.01'!$1:$1</definedName>
    <definedName name="_xlnm.Print_Titles" localSheetId="35">'12.02-12.08'!$1:$1</definedName>
    <definedName name="_xlnm.Print_Titles" localSheetId="36">'12.09-12.15'!$1:$1</definedName>
    <definedName name="_xlnm.Print_Titles" localSheetId="37">'12.16-12.22'!$1:$1</definedName>
    <definedName name="_xlnm.Print_Titles" localSheetId="38">'12.23-12.29'!$1:$1</definedName>
    <definedName name="_xlnm.Print_Area" localSheetId="0">'04.01-04.07'!$A$1:$H$60</definedName>
    <definedName name="_xlnm.Print_Area" localSheetId="2">'04.15-04.21'!$A$1:$H$55</definedName>
    <definedName name="_xlnm.Print_Area" localSheetId="3">'04.22-04.28'!$A$1:$H$53</definedName>
    <definedName name="_xlnm.Print_Area" localSheetId="4">'04.29-05.05'!$A$1:$H$54</definedName>
    <definedName name="_xlnm.Print_Area" localSheetId="5">'05.06-05.12'!$A$1:$H$53</definedName>
    <definedName name="_xlnm.Print_Area" localSheetId="6">'05.13-05.19'!$A$1:$H$55</definedName>
    <definedName name="_xlnm.Print_Area" localSheetId="7">'05.20-05.26'!$A$1:$H$55</definedName>
    <definedName name="_xlnm.Print_Area" localSheetId="8">'05.27-06.02'!$A$1:$H$45</definedName>
    <definedName name="_xlnm.Print_Area" localSheetId="9">'06.03-06.09'!$A$1:$H$48</definedName>
    <definedName name="_xlnm.Print_Area" localSheetId="10">'06.10-06.16'!$A$1:$H$48</definedName>
    <definedName name="_xlnm.Print_Area" localSheetId="11">'06.17-06.23'!$A$1:$H$53</definedName>
    <definedName name="_xlnm.Print_Area" localSheetId="12">'06.24-06.30'!$A$1:$H$54</definedName>
    <definedName name="_xlnm.Print_Area" localSheetId="13">'07.01-07.07'!$A$1:$H$53</definedName>
    <definedName name="_xlnm.Print_Area" localSheetId="14">'07.08-07.14'!$A$1:$H$52</definedName>
    <definedName name="_xlnm.Print_Area" localSheetId="15">'07.15-07.21'!$A$1:$H$55</definedName>
    <definedName name="_xlnm.Print_Area" localSheetId="16">'07.22-07.28'!$A$1:$H$54</definedName>
    <definedName name="_xlnm.Print_Area" localSheetId="17">'07.29-08.04'!$A$1:$H$54</definedName>
    <definedName name="_xlnm.Print_Area" localSheetId="18">'08.05-08.11'!$A$1:$H$52</definedName>
    <definedName name="_xlnm.Print_Area" localSheetId="19">'08.12-08.18'!$A$1:$H$54</definedName>
    <definedName name="_xlnm.Print_Area" localSheetId="20">'08.19-08.25'!$A$1:$H$54</definedName>
    <definedName name="_xlnm.Print_Area" localSheetId="21">'08.26-09.01'!$A$1:$H$47</definedName>
    <definedName name="_xlnm.Print_Area" localSheetId="22">'09.02-09.08'!$A$1:$H$54</definedName>
    <definedName name="_xlnm.Print_Area" localSheetId="23">'09.09-09.15'!$A$1:$H$54</definedName>
    <definedName name="_xlnm.Print_Area" localSheetId="24">'09.16-09.22'!$A$1:$H$54</definedName>
    <definedName name="_xlnm.Print_Area" localSheetId="25">'09.23-09.29'!$A$1:$H$54</definedName>
    <definedName name="_xlnm.Print_Area" localSheetId="26">'09.30-10.06'!$A$1:$H$54</definedName>
    <definedName name="_xlnm.Print_Area" localSheetId="27">'10.07-10.13'!$A$1:$H$54</definedName>
    <definedName name="_xlnm.Print_Area" localSheetId="28">'10.14-10.20'!$A$1:$H$54</definedName>
    <definedName name="_xlnm.Print_Area" localSheetId="29">'10.21-10.27'!$A$1:$H$54</definedName>
    <definedName name="_xlnm.Print_Area" localSheetId="30">'10.28-11.03'!$A$1:$H$54</definedName>
    <definedName name="_xlnm.Print_Area" localSheetId="31">'11.04-11.10'!$A$1:$H$54</definedName>
    <definedName name="_xlnm.Print_Area" localSheetId="32">'11.11-11.17'!$A$1:$H$54</definedName>
    <definedName name="_xlnm.Print_Area" localSheetId="33">'11.18-11.24'!$A$1:$H$54</definedName>
    <definedName name="_xlnm.Print_Area" localSheetId="34">'11.25-12.01'!$A$1:$H$54</definedName>
    <definedName name="_xlnm.Print_Area" localSheetId="35">'12.02-12.08'!$A$1:$H$54</definedName>
    <definedName name="_xlnm.Print_Area" localSheetId="36">'12.09-12.15'!$A$1:$H$54</definedName>
    <definedName name="_xlnm.Print_Area" localSheetId="37">'12.16-12.22'!$A$1:$H$54</definedName>
    <definedName name="_xlnm.Print_Area" localSheetId="38">'12.23-12.29'!$A$1:$H$54</definedName>
    <definedName name="Z_07BAD8F1_49B6_40C7_A1B5_B8EF23A4A904_.wvu.PrintArea" localSheetId="0" hidden="1">'04.01-04.07'!$A$1:$H$60</definedName>
    <definedName name="Z_07BAD8F1_49B6_40C7_A1B5_B8EF23A4A904_.wvu.PrintArea" localSheetId="2" hidden="1">'04.15-04.21'!$A$1:$H$55</definedName>
    <definedName name="Z_07BAD8F1_49B6_40C7_A1B5_B8EF23A4A904_.wvu.PrintArea" localSheetId="3" hidden="1">'04.22-04.28'!$A$1:$H$53</definedName>
    <definedName name="Z_07BAD8F1_49B6_40C7_A1B5_B8EF23A4A904_.wvu.PrintArea" localSheetId="4" hidden="1">'04.29-05.05'!$A$1:$H$54</definedName>
    <definedName name="Z_07BAD8F1_49B6_40C7_A1B5_B8EF23A4A904_.wvu.PrintArea" localSheetId="5" hidden="1">'05.06-05.12'!$A$1:$H$53</definedName>
    <definedName name="Z_07BAD8F1_49B6_40C7_A1B5_B8EF23A4A904_.wvu.PrintArea" localSheetId="6" hidden="1">'05.13-05.19'!$A$1:$H$55</definedName>
    <definedName name="Z_07BAD8F1_49B6_40C7_A1B5_B8EF23A4A904_.wvu.PrintArea" localSheetId="7" hidden="1">'05.20-05.26'!$A$1:$H$55</definedName>
    <definedName name="Z_07BAD8F1_49B6_40C7_A1B5_B8EF23A4A904_.wvu.PrintArea" localSheetId="8" hidden="1">'05.27-06.02'!$A$1:$H$45</definedName>
    <definedName name="Z_07BAD8F1_49B6_40C7_A1B5_B8EF23A4A904_.wvu.PrintArea" localSheetId="9" hidden="1">'06.03-06.09'!$A$1:$H$48</definedName>
    <definedName name="Z_07BAD8F1_49B6_40C7_A1B5_B8EF23A4A904_.wvu.PrintArea" localSheetId="10" hidden="1">'06.10-06.16'!$A$1:$H$48</definedName>
    <definedName name="Z_07BAD8F1_49B6_40C7_A1B5_B8EF23A4A904_.wvu.PrintArea" localSheetId="11" hidden="1">'06.17-06.23'!$A$1:$H$53</definedName>
    <definedName name="Z_07BAD8F1_49B6_40C7_A1B5_B8EF23A4A904_.wvu.PrintArea" localSheetId="12" hidden="1">'06.24-06.30'!$A$1:$H$54</definedName>
    <definedName name="Z_07BAD8F1_49B6_40C7_A1B5_B8EF23A4A904_.wvu.PrintArea" localSheetId="13" hidden="1">'07.01-07.07'!$A$1:$H$53</definedName>
    <definedName name="Z_07BAD8F1_49B6_40C7_A1B5_B8EF23A4A904_.wvu.PrintArea" localSheetId="14" hidden="1">'07.08-07.14'!$A$1:$H$52</definedName>
    <definedName name="Z_07BAD8F1_49B6_40C7_A1B5_B8EF23A4A904_.wvu.PrintArea" localSheetId="15" hidden="1">'07.15-07.21'!$A$1:$H$55</definedName>
    <definedName name="Z_07BAD8F1_49B6_40C7_A1B5_B8EF23A4A904_.wvu.PrintArea" localSheetId="16" hidden="1">'07.22-07.28'!$A$1:$H$54</definedName>
    <definedName name="Z_07BAD8F1_49B6_40C7_A1B5_B8EF23A4A904_.wvu.PrintArea" localSheetId="17" hidden="1">'07.29-08.04'!$A$1:$H$54</definedName>
    <definedName name="Z_07BAD8F1_49B6_40C7_A1B5_B8EF23A4A904_.wvu.PrintArea" localSheetId="18" hidden="1">'08.05-08.11'!$A$1:$H$52</definedName>
    <definedName name="Z_07BAD8F1_49B6_40C7_A1B5_B8EF23A4A904_.wvu.PrintArea" localSheetId="19" hidden="1">'08.12-08.18'!$A$1:$H$54</definedName>
    <definedName name="Z_07BAD8F1_49B6_40C7_A1B5_B8EF23A4A904_.wvu.PrintArea" localSheetId="20" hidden="1">'08.19-08.25'!$A$1:$H$54</definedName>
    <definedName name="Z_07BAD8F1_49B6_40C7_A1B5_B8EF23A4A904_.wvu.PrintArea" localSheetId="21" hidden="1">'08.26-09.01'!$A$1:$H$47</definedName>
    <definedName name="Z_07BAD8F1_49B6_40C7_A1B5_B8EF23A4A904_.wvu.PrintArea" localSheetId="22" hidden="1">'09.02-09.08'!$A$1:$H$54</definedName>
    <definedName name="Z_07BAD8F1_49B6_40C7_A1B5_B8EF23A4A904_.wvu.PrintArea" localSheetId="23" hidden="1">'09.09-09.15'!$A$1:$H$54</definedName>
    <definedName name="Z_07BAD8F1_49B6_40C7_A1B5_B8EF23A4A904_.wvu.PrintArea" localSheetId="24" hidden="1">'09.16-09.22'!$A$1:$H$54</definedName>
    <definedName name="Z_07BAD8F1_49B6_40C7_A1B5_B8EF23A4A904_.wvu.PrintArea" localSheetId="25" hidden="1">'09.23-09.29'!$A$1:$H$54</definedName>
    <definedName name="Z_07BAD8F1_49B6_40C7_A1B5_B8EF23A4A904_.wvu.PrintArea" localSheetId="26" hidden="1">'09.30-10.06'!$A$1:$H$54</definedName>
    <definedName name="Z_07BAD8F1_49B6_40C7_A1B5_B8EF23A4A904_.wvu.PrintArea" localSheetId="27" hidden="1">'10.07-10.13'!$A$1:$H$54</definedName>
    <definedName name="Z_07BAD8F1_49B6_40C7_A1B5_B8EF23A4A904_.wvu.PrintArea" localSheetId="28" hidden="1">'10.14-10.20'!$A$1:$H$54</definedName>
    <definedName name="Z_07BAD8F1_49B6_40C7_A1B5_B8EF23A4A904_.wvu.PrintArea" localSheetId="29" hidden="1">'10.21-10.27'!$A$1:$H$54</definedName>
    <definedName name="Z_07BAD8F1_49B6_40C7_A1B5_B8EF23A4A904_.wvu.PrintArea" localSheetId="30" hidden="1">'10.28-11.03'!$A$1:$H$54</definedName>
    <definedName name="Z_07BAD8F1_49B6_40C7_A1B5_B8EF23A4A904_.wvu.PrintArea" localSheetId="31" hidden="1">'11.04-11.10'!$A$1:$H$54</definedName>
    <definedName name="Z_07BAD8F1_49B6_40C7_A1B5_B8EF23A4A904_.wvu.PrintArea" localSheetId="32" hidden="1">'11.11-11.17'!$A$1:$H$54</definedName>
    <definedName name="Z_07BAD8F1_49B6_40C7_A1B5_B8EF23A4A904_.wvu.PrintArea" localSheetId="33" hidden="1">'11.18-11.24'!$A$1:$H$54</definedName>
    <definedName name="Z_07BAD8F1_49B6_40C7_A1B5_B8EF23A4A904_.wvu.PrintArea" localSheetId="34" hidden="1">'11.25-12.01'!$A$1:$H$54</definedName>
    <definedName name="Z_07BAD8F1_49B6_40C7_A1B5_B8EF23A4A904_.wvu.PrintArea" localSheetId="35" hidden="1">'12.02-12.08'!$A$1:$H$54</definedName>
    <definedName name="Z_07BAD8F1_49B6_40C7_A1B5_B8EF23A4A904_.wvu.PrintArea" localSheetId="36" hidden="1">'12.09-12.15'!$A$1:$H$54</definedName>
    <definedName name="Z_07BAD8F1_49B6_40C7_A1B5_B8EF23A4A904_.wvu.PrintArea" localSheetId="37" hidden="1">'12.16-12.22'!$A$1:$H$54</definedName>
    <definedName name="Z_07BAD8F1_49B6_40C7_A1B5_B8EF23A4A904_.wvu.PrintArea" localSheetId="38" hidden="1">'12.23-12.29'!$A$1:$H$54</definedName>
    <definedName name="Z_07BAD8F1_49B6_40C7_A1B5_B8EF23A4A904_.wvu.PrintTitles" localSheetId="0" hidden="1">'04.01-04.07'!$1:$1</definedName>
    <definedName name="Z_07BAD8F1_49B6_40C7_A1B5_B8EF23A4A904_.wvu.PrintTitles" localSheetId="2" hidden="1">'04.15-04.21'!$1:$1</definedName>
    <definedName name="Z_07BAD8F1_49B6_40C7_A1B5_B8EF23A4A904_.wvu.PrintTitles" localSheetId="3" hidden="1">'04.22-04.28'!$1:$1</definedName>
    <definedName name="Z_07BAD8F1_49B6_40C7_A1B5_B8EF23A4A904_.wvu.PrintTitles" localSheetId="4" hidden="1">'04.29-05.05'!$1:$1</definedName>
    <definedName name="Z_07BAD8F1_49B6_40C7_A1B5_B8EF23A4A904_.wvu.PrintTitles" localSheetId="5" hidden="1">'05.06-05.12'!$1:$1</definedName>
    <definedName name="Z_07BAD8F1_49B6_40C7_A1B5_B8EF23A4A904_.wvu.PrintTitles" localSheetId="6" hidden="1">'05.13-05.19'!$1:$1</definedName>
    <definedName name="Z_07BAD8F1_49B6_40C7_A1B5_B8EF23A4A904_.wvu.PrintTitles" localSheetId="7" hidden="1">'05.20-05.26'!$1:$1</definedName>
    <definedName name="Z_07BAD8F1_49B6_40C7_A1B5_B8EF23A4A904_.wvu.PrintTitles" localSheetId="8" hidden="1">'05.27-06.02'!$1:$1</definedName>
    <definedName name="Z_07BAD8F1_49B6_40C7_A1B5_B8EF23A4A904_.wvu.PrintTitles" localSheetId="9" hidden="1">'06.03-06.09'!$1:$1</definedName>
    <definedName name="Z_07BAD8F1_49B6_40C7_A1B5_B8EF23A4A904_.wvu.PrintTitles" localSheetId="10" hidden="1">'06.10-06.16'!$1:$1</definedName>
    <definedName name="Z_07BAD8F1_49B6_40C7_A1B5_B8EF23A4A904_.wvu.PrintTitles" localSheetId="11" hidden="1">'06.17-06.23'!$1:$1</definedName>
    <definedName name="Z_07BAD8F1_49B6_40C7_A1B5_B8EF23A4A904_.wvu.PrintTitles" localSheetId="12" hidden="1">'06.24-06.30'!$1:$1</definedName>
    <definedName name="Z_07BAD8F1_49B6_40C7_A1B5_B8EF23A4A904_.wvu.PrintTitles" localSheetId="13" hidden="1">'07.01-07.07'!$1:$1</definedName>
    <definedName name="Z_07BAD8F1_49B6_40C7_A1B5_B8EF23A4A904_.wvu.PrintTitles" localSheetId="14" hidden="1">'07.08-07.14'!$1:$1</definedName>
    <definedName name="Z_07BAD8F1_49B6_40C7_A1B5_B8EF23A4A904_.wvu.PrintTitles" localSheetId="15" hidden="1">'07.15-07.21'!$1:$1</definedName>
    <definedName name="Z_07BAD8F1_49B6_40C7_A1B5_B8EF23A4A904_.wvu.PrintTitles" localSheetId="16" hidden="1">'07.22-07.28'!$1:$1</definedName>
    <definedName name="Z_07BAD8F1_49B6_40C7_A1B5_B8EF23A4A904_.wvu.PrintTitles" localSheetId="17" hidden="1">'07.29-08.04'!$1:$1</definedName>
    <definedName name="Z_07BAD8F1_49B6_40C7_A1B5_B8EF23A4A904_.wvu.PrintTitles" localSheetId="18" hidden="1">'08.05-08.11'!$1:$1</definedName>
    <definedName name="Z_07BAD8F1_49B6_40C7_A1B5_B8EF23A4A904_.wvu.PrintTitles" localSheetId="19" hidden="1">'08.12-08.18'!$1:$1</definedName>
    <definedName name="Z_07BAD8F1_49B6_40C7_A1B5_B8EF23A4A904_.wvu.PrintTitles" localSheetId="20" hidden="1">'08.19-08.25'!$1:$1</definedName>
    <definedName name="Z_07BAD8F1_49B6_40C7_A1B5_B8EF23A4A904_.wvu.PrintTitles" localSheetId="21" hidden="1">'08.26-09.01'!$1:$1</definedName>
    <definedName name="Z_07BAD8F1_49B6_40C7_A1B5_B8EF23A4A904_.wvu.PrintTitles" localSheetId="22" hidden="1">'09.02-09.08'!$1:$1</definedName>
    <definedName name="Z_07BAD8F1_49B6_40C7_A1B5_B8EF23A4A904_.wvu.PrintTitles" localSheetId="23" hidden="1">'09.09-09.15'!$1:$1</definedName>
    <definedName name="Z_07BAD8F1_49B6_40C7_A1B5_B8EF23A4A904_.wvu.PrintTitles" localSheetId="24" hidden="1">'09.16-09.22'!$1:$1</definedName>
    <definedName name="Z_07BAD8F1_49B6_40C7_A1B5_B8EF23A4A904_.wvu.PrintTitles" localSheetId="25" hidden="1">'09.23-09.29'!$1:$1</definedName>
    <definedName name="Z_07BAD8F1_49B6_40C7_A1B5_B8EF23A4A904_.wvu.PrintTitles" localSheetId="26" hidden="1">'09.30-10.06'!$1:$1</definedName>
    <definedName name="Z_07BAD8F1_49B6_40C7_A1B5_B8EF23A4A904_.wvu.PrintTitles" localSheetId="27" hidden="1">'10.07-10.13'!$1:$1</definedName>
    <definedName name="Z_07BAD8F1_49B6_40C7_A1B5_B8EF23A4A904_.wvu.PrintTitles" localSheetId="28" hidden="1">'10.14-10.20'!$1:$1</definedName>
    <definedName name="Z_07BAD8F1_49B6_40C7_A1B5_B8EF23A4A904_.wvu.PrintTitles" localSheetId="29" hidden="1">'10.21-10.27'!$1:$1</definedName>
    <definedName name="Z_07BAD8F1_49B6_40C7_A1B5_B8EF23A4A904_.wvu.PrintTitles" localSheetId="30" hidden="1">'10.28-11.03'!$1:$1</definedName>
    <definedName name="Z_07BAD8F1_49B6_40C7_A1B5_B8EF23A4A904_.wvu.PrintTitles" localSheetId="31" hidden="1">'11.04-11.10'!$1:$1</definedName>
    <definedName name="Z_07BAD8F1_49B6_40C7_A1B5_B8EF23A4A904_.wvu.PrintTitles" localSheetId="32" hidden="1">'11.11-11.17'!$1:$1</definedName>
    <definedName name="Z_07BAD8F1_49B6_40C7_A1B5_B8EF23A4A904_.wvu.PrintTitles" localSheetId="33" hidden="1">'11.18-11.24'!$1:$1</definedName>
    <definedName name="Z_07BAD8F1_49B6_40C7_A1B5_B8EF23A4A904_.wvu.PrintTitles" localSheetId="34" hidden="1">'11.25-12.01'!$1:$1</definedName>
    <definedName name="Z_07BAD8F1_49B6_40C7_A1B5_B8EF23A4A904_.wvu.PrintTitles" localSheetId="35" hidden="1">'12.02-12.08'!$1:$1</definedName>
    <definedName name="Z_07BAD8F1_49B6_40C7_A1B5_B8EF23A4A904_.wvu.PrintTitles" localSheetId="36" hidden="1">'12.09-12.15'!$1:$1</definedName>
    <definedName name="Z_07BAD8F1_49B6_40C7_A1B5_B8EF23A4A904_.wvu.PrintTitles" localSheetId="37" hidden="1">'12.16-12.22'!$1:$1</definedName>
    <definedName name="Z_07BAD8F1_49B6_40C7_A1B5_B8EF23A4A904_.wvu.PrintTitles" localSheetId="38" hidden="1">'12.23-12.29'!$1:$1</definedName>
    <definedName name="Z_07BAD8F1_49B6_40C7_A1B5_B8EF23A4A904_.wvu.Rows" localSheetId="6" hidden="1">'05.13-05.19'!$23:$28</definedName>
    <definedName name="Z_07BAD8F1_49B6_40C7_A1B5_B8EF23A4A904_.wvu.Rows" localSheetId="7" hidden="1">'05.20-05.26'!$26:$32</definedName>
    <definedName name="Z_0D091791_6928_48DD_B75F_0677FDB23A54_.wvu.PrintArea" localSheetId="0" hidden="1">'04.01-04.07'!$A$1:$H$60</definedName>
    <definedName name="Z_0D091791_6928_48DD_B75F_0677FDB23A54_.wvu.PrintArea" localSheetId="2" hidden="1">'04.15-04.21'!$A$1:$H$55</definedName>
    <definedName name="Z_0D091791_6928_48DD_B75F_0677FDB23A54_.wvu.PrintArea" localSheetId="3" hidden="1">'04.22-04.28'!$A$1:$H$53</definedName>
    <definedName name="Z_0D091791_6928_48DD_B75F_0677FDB23A54_.wvu.PrintArea" localSheetId="4" hidden="1">'04.29-05.05'!$A$1:$H$54</definedName>
    <definedName name="Z_0D091791_6928_48DD_B75F_0677FDB23A54_.wvu.PrintArea" localSheetId="5" hidden="1">'05.06-05.12'!$A$1:$H$53</definedName>
    <definedName name="Z_0D091791_6928_48DD_B75F_0677FDB23A54_.wvu.PrintArea" localSheetId="6" hidden="1">'05.13-05.19'!$A$1:$H$55</definedName>
    <definedName name="Z_0D091791_6928_48DD_B75F_0677FDB23A54_.wvu.PrintArea" localSheetId="7" hidden="1">'05.20-05.26'!$A$1:$H$55</definedName>
    <definedName name="Z_0D091791_6928_48DD_B75F_0677FDB23A54_.wvu.PrintArea" localSheetId="8" hidden="1">'05.27-06.02'!$A$1:$H$45</definedName>
    <definedName name="Z_0D091791_6928_48DD_B75F_0677FDB23A54_.wvu.PrintArea" localSheetId="9" hidden="1">'06.03-06.09'!$A$1:$H$48</definedName>
    <definedName name="Z_0D091791_6928_48DD_B75F_0677FDB23A54_.wvu.PrintArea" localSheetId="10" hidden="1">'06.10-06.16'!$A$1:$H$48</definedName>
    <definedName name="Z_0D091791_6928_48DD_B75F_0677FDB23A54_.wvu.PrintArea" localSheetId="11" hidden="1">'06.17-06.23'!$A$1:$H$53</definedName>
    <definedName name="Z_0D091791_6928_48DD_B75F_0677FDB23A54_.wvu.PrintArea" localSheetId="12" hidden="1">'06.24-06.30'!$A$1:$H$54</definedName>
    <definedName name="Z_0D091791_6928_48DD_B75F_0677FDB23A54_.wvu.PrintArea" localSheetId="13" hidden="1">'07.01-07.07'!$A$1:$H$53</definedName>
    <definedName name="Z_0D091791_6928_48DD_B75F_0677FDB23A54_.wvu.PrintArea" localSheetId="14" hidden="1">'07.08-07.14'!$A$1:$H$52</definedName>
    <definedName name="Z_0D091791_6928_48DD_B75F_0677FDB23A54_.wvu.PrintArea" localSheetId="15" hidden="1">'07.15-07.21'!$A$1:$H$55</definedName>
    <definedName name="Z_0D091791_6928_48DD_B75F_0677FDB23A54_.wvu.PrintArea" localSheetId="16" hidden="1">'07.22-07.28'!$A$1:$H$54</definedName>
    <definedName name="Z_0D091791_6928_48DD_B75F_0677FDB23A54_.wvu.PrintArea" localSheetId="17" hidden="1">'07.29-08.04'!$A$1:$H$54</definedName>
    <definedName name="Z_0D091791_6928_48DD_B75F_0677FDB23A54_.wvu.PrintArea" localSheetId="18" hidden="1">'08.05-08.11'!$A$1:$H$52</definedName>
    <definedName name="Z_0D091791_6928_48DD_B75F_0677FDB23A54_.wvu.PrintArea" localSheetId="19" hidden="1">'08.12-08.18'!$A$1:$H$54</definedName>
    <definedName name="Z_0D091791_6928_48DD_B75F_0677FDB23A54_.wvu.PrintArea" localSheetId="20" hidden="1">'08.19-08.25'!$A$1:$H$54</definedName>
    <definedName name="Z_0D091791_6928_48DD_B75F_0677FDB23A54_.wvu.PrintArea" localSheetId="21" hidden="1">'08.26-09.01'!$A$1:$H$47</definedName>
    <definedName name="Z_0D091791_6928_48DD_B75F_0677FDB23A54_.wvu.PrintArea" localSheetId="22" hidden="1">'09.02-09.08'!$A$1:$H$54</definedName>
    <definedName name="Z_0D091791_6928_48DD_B75F_0677FDB23A54_.wvu.PrintArea" localSheetId="23" hidden="1">'09.09-09.15'!$A$1:$H$54</definedName>
    <definedName name="Z_0D091791_6928_48DD_B75F_0677FDB23A54_.wvu.PrintArea" localSheetId="24" hidden="1">'09.16-09.22'!$A$1:$H$54</definedName>
    <definedName name="Z_0D091791_6928_48DD_B75F_0677FDB23A54_.wvu.PrintArea" localSheetId="25" hidden="1">'09.23-09.29'!$A$1:$H$54</definedName>
    <definedName name="Z_0D091791_6928_48DD_B75F_0677FDB23A54_.wvu.PrintArea" localSheetId="26" hidden="1">'09.30-10.06'!$A$1:$H$54</definedName>
    <definedName name="Z_0D091791_6928_48DD_B75F_0677FDB23A54_.wvu.PrintArea" localSheetId="27" hidden="1">'10.07-10.13'!$A$1:$H$54</definedName>
    <definedName name="Z_0D091791_6928_48DD_B75F_0677FDB23A54_.wvu.PrintArea" localSheetId="28" hidden="1">'10.14-10.20'!$A$1:$H$54</definedName>
    <definedName name="Z_0D091791_6928_48DD_B75F_0677FDB23A54_.wvu.PrintArea" localSheetId="29" hidden="1">'10.21-10.27'!$A$1:$H$54</definedName>
    <definedName name="Z_0D091791_6928_48DD_B75F_0677FDB23A54_.wvu.PrintArea" localSheetId="30" hidden="1">'10.28-11.03'!$A$1:$H$54</definedName>
    <definedName name="Z_0D091791_6928_48DD_B75F_0677FDB23A54_.wvu.PrintArea" localSheetId="31" hidden="1">'11.04-11.10'!$A$1:$H$54</definedName>
    <definedName name="Z_0D091791_6928_48DD_B75F_0677FDB23A54_.wvu.PrintArea" localSheetId="32" hidden="1">'11.11-11.17'!$A$1:$H$54</definedName>
    <definedName name="Z_0D091791_6928_48DD_B75F_0677FDB23A54_.wvu.PrintArea" localSheetId="33" hidden="1">'11.18-11.24'!$A$1:$H$54</definedName>
    <definedName name="Z_0D091791_6928_48DD_B75F_0677FDB23A54_.wvu.PrintArea" localSheetId="34" hidden="1">'11.25-12.01'!$A$1:$H$54</definedName>
    <definedName name="Z_0D091791_6928_48DD_B75F_0677FDB23A54_.wvu.PrintArea" localSheetId="35" hidden="1">'12.02-12.08'!$A$1:$H$54</definedName>
    <definedName name="Z_0D091791_6928_48DD_B75F_0677FDB23A54_.wvu.PrintArea" localSheetId="36" hidden="1">'12.09-12.15'!$A$1:$H$54</definedName>
    <definedName name="Z_0D091791_6928_48DD_B75F_0677FDB23A54_.wvu.PrintArea" localSheetId="37" hidden="1">'12.16-12.22'!$A$1:$H$54</definedName>
    <definedName name="Z_0D091791_6928_48DD_B75F_0677FDB23A54_.wvu.PrintArea" localSheetId="38" hidden="1">'12.23-12.29'!$A$1:$H$54</definedName>
    <definedName name="Z_0D091791_6928_48DD_B75F_0677FDB23A54_.wvu.PrintTitles" localSheetId="0" hidden="1">'04.01-04.07'!$1:$1</definedName>
    <definedName name="Z_0D091791_6928_48DD_B75F_0677FDB23A54_.wvu.PrintTitles" localSheetId="2" hidden="1">'04.15-04.21'!$1:$1</definedName>
    <definedName name="Z_0D091791_6928_48DD_B75F_0677FDB23A54_.wvu.PrintTitles" localSheetId="3" hidden="1">'04.22-04.28'!$1:$1</definedName>
    <definedName name="Z_0D091791_6928_48DD_B75F_0677FDB23A54_.wvu.PrintTitles" localSheetId="4" hidden="1">'04.29-05.05'!$1:$1</definedName>
    <definedName name="Z_0D091791_6928_48DD_B75F_0677FDB23A54_.wvu.PrintTitles" localSheetId="5" hidden="1">'05.06-05.12'!$1:$1</definedName>
    <definedName name="Z_0D091791_6928_48DD_B75F_0677FDB23A54_.wvu.PrintTitles" localSheetId="6" hidden="1">'05.13-05.19'!$1:$1</definedName>
    <definedName name="Z_0D091791_6928_48DD_B75F_0677FDB23A54_.wvu.PrintTitles" localSheetId="7" hidden="1">'05.20-05.26'!$1:$1</definedName>
    <definedName name="Z_0D091791_6928_48DD_B75F_0677FDB23A54_.wvu.PrintTitles" localSheetId="8" hidden="1">'05.27-06.02'!$1:$1</definedName>
    <definedName name="Z_0D091791_6928_48DD_B75F_0677FDB23A54_.wvu.PrintTitles" localSheetId="9" hidden="1">'06.03-06.09'!$1:$1</definedName>
    <definedName name="Z_0D091791_6928_48DD_B75F_0677FDB23A54_.wvu.PrintTitles" localSheetId="10" hidden="1">'06.10-06.16'!$1:$1</definedName>
    <definedName name="Z_0D091791_6928_48DD_B75F_0677FDB23A54_.wvu.PrintTitles" localSheetId="11" hidden="1">'06.17-06.23'!$1:$1</definedName>
    <definedName name="Z_0D091791_6928_48DD_B75F_0677FDB23A54_.wvu.PrintTitles" localSheetId="12" hidden="1">'06.24-06.30'!$1:$1</definedName>
    <definedName name="Z_0D091791_6928_48DD_B75F_0677FDB23A54_.wvu.PrintTitles" localSheetId="13" hidden="1">'07.01-07.07'!$1:$1</definedName>
    <definedName name="Z_0D091791_6928_48DD_B75F_0677FDB23A54_.wvu.PrintTitles" localSheetId="14" hidden="1">'07.08-07.14'!$1:$1</definedName>
    <definedName name="Z_0D091791_6928_48DD_B75F_0677FDB23A54_.wvu.PrintTitles" localSheetId="15" hidden="1">'07.15-07.21'!$1:$1</definedName>
    <definedName name="Z_0D091791_6928_48DD_B75F_0677FDB23A54_.wvu.PrintTitles" localSheetId="16" hidden="1">'07.22-07.28'!$1:$1</definedName>
    <definedName name="Z_0D091791_6928_48DD_B75F_0677FDB23A54_.wvu.PrintTitles" localSheetId="17" hidden="1">'07.29-08.04'!$1:$1</definedName>
    <definedName name="Z_0D091791_6928_48DD_B75F_0677FDB23A54_.wvu.PrintTitles" localSheetId="18" hidden="1">'08.05-08.11'!$1:$1</definedName>
    <definedName name="Z_0D091791_6928_48DD_B75F_0677FDB23A54_.wvu.PrintTitles" localSheetId="19" hidden="1">'08.12-08.18'!$1:$1</definedName>
    <definedName name="Z_0D091791_6928_48DD_B75F_0677FDB23A54_.wvu.PrintTitles" localSheetId="20" hidden="1">'08.19-08.25'!$1:$1</definedName>
    <definedName name="Z_0D091791_6928_48DD_B75F_0677FDB23A54_.wvu.PrintTitles" localSheetId="21" hidden="1">'08.26-09.01'!$1:$1</definedName>
    <definedName name="Z_0D091791_6928_48DD_B75F_0677FDB23A54_.wvu.PrintTitles" localSheetId="22" hidden="1">'09.02-09.08'!$1:$1</definedName>
    <definedName name="Z_0D091791_6928_48DD_B75F_0677FDB23A54_.wvu.PrintTitles" localSheetId="23" hidden="1">'09.09-09.15'!$1:$1</definedName>
    <definedName name="Z_0D091791_6928_48DD_B75F_0677FDB23A54_.wvu.PrintTitles" localSheetId="24" hidden="1">'09.16-09.22'!$1:$1</definedName>
    <definedName name="Z_0D091791_6928_48DD_B75F_0677FDB23A54_.wvu.PrintTitles" localSheetId="25" hidden="1">'09.23-09.29'!$1:$1</definedName>
    <definedName name="Z_0D091791_6928_48DD_B75F_0677FDB23A54_.wvu.PrintTitles" localSheetId="26" hidden="1">'09.30-10.06'!$1:$1</definedName>
    <definedName name="Z_0D091791_6928_48DD_B75F_0677FDB23A54_.wvu.PrintTitles" localSheetId="27" hidden="1">'10.07-10.13'!$1:$1</definedName>
    <definedName name="Z_0D091791_6928_48DD_B75F_0677FDB23A54_.wvu.PrintTitles" localSheetId="28" hidden="1">'10.14-10.20'!$1:$1</definedName>
    <definedName name="Z_0D091791_6928_48DD_B75F_0677FDB23A54_.wvu.PrintTitles" localSheetId="29" hidden="1">'10.21-10.27'!$1:$1</definedName>
    <definedName name="Z_0D091791_6928_48DD_B75F_0677FDB23A54_.wvu.PrintTitles" localSheetId="30" hidden="1">'10.28-11.03'!$1:$1</definedName>
    <definedName name="Z_0D091791_6928_48DD_B75F_0677FDB23A54_.wvu.PrintTitles" localSheetId="31" hidden="1">'11.04-11.10'!$1:$1</definedName>
    <definedName name="Z_0D091791_6928_48DD_B75F_0677FDB23A54_.wvu.PrintTitles" localSheetId="32" hidden="1">'11.11-11.17'!$1:$1</definedName>
    <definedName name="Z_0D091791_6928_48DD_B75F_0677FDB23A54_.wvu.PrintTitles" localSheetId="33" hidden="1">'11.18-11.24'!$1:$1</definedName>
    <definedName name="Z_0D091791_6928_48DD_B75F_0677FDB23A54_.wvu.PrintTitles" localSheetId="34" hidden="1">'11.25-12.01'!$1:$1</definedName>
    <definedName name="Z_0D091791_6928_48DD_B75F_0677FDB23A54_.wvu.PrintTitles" localSheetId="35" hidden="1">'12.02-12.08'!$1:$1</definedName>
    <definedName name="Z_0D091791_6928_48DD_B75F_0677FDB23A54_.wvu.PrintTitles" localSheetId="36" hidden="1">'12.09-12.15'!$1:$1</definedName>
    <definedName name="Z_0D091791_6928_48DD_B75F_0677FDB23A54_.wvu.PrintTitles" localSheetId="37" hidden="1">'12.16-12.22'!$1:$1</definedName>
    <definedName name="Z_0D091791_6928_48DD_B75F_0677FDB23A54_.wvu.PrintTitles" localSheetId="38" hidden="1">'12.23-12.29'!$1:$1</definedName>
    <definedName name="Z_0D091791_6928_48DD_B75F_0677FDB23A54_.wvu.Rows" localSheetId="6" hidden="1">'05.13-05.19'!$23:$28</definedName>
    <definedName name="Z_0D091791_6928_48DD_B75F_0677FDB23A54_.wvu.Rows" localSheetId="7" hidden="1">'05.20-05.26'!$26:$32</definedName>
    <definedName name="Z_413CAF1F_62E2_41F5_A4C6_2C341582DC5D_.wvu.PrintArea" localSheetId="0" hidden="1">'04.01-04.07'!$A$1:$H$60</definedName>
    <definedName name="Z_413CAF1F_62E2_41F5_A4C6_2C341582DC5D_.wvu.PrintArea" localSheetId="2" hidden="1">'04.15-04.21'!$A$1:$H$55</definedName>
    <definedName name="Z_413CAF1F_62E2_41F5_A4C6_2C341582DC5D_.wvu.PrintArea" localSheetId="3" hidden="1">'04.22-04.28'!$A$1:$H$53</definedName>
    <definedName name="Z_413CAF1F_62E2_41F5_A4C6_2C341582DC5D_.wvu.PrintArea" localSheetId="4" hidden="1">'04.29-05.05'!$A$1:$H$54</definedName>
    <definedName name="Z_413CAF1F_62E2_41F5_A4C6_2C341582DC5D_.wvu.PrintArea" localSheetId="5" hidden="1">'05.06-05.12'!$A$1:$H$53</definedName>
    <definedName name="Z_413CAF1F_62E2_41F5_A4C6_2C341582DC5D_.wvu.PrintArea" localSheetId="6" hidden="1">'05.13-05.19'!$A$1:$H$55</definedName>
    <definedName name="Z_413CAF1F_62E2_41F5_A4C6_2C341582DC5D_.wvu.PrintArea" localSheetId="7" hidden="1">'05.20-05.26'!$A$1:$H$55</definedName>
    <definedName name="Z_413CAF1F_62E2_41F5_A4C6_2C341582DC5D_.wvu.PrintArea" localSheetId="8" hidden="1">'05.27-06.02'!$A$1:$H$45</definedName>
    <definedName name="Z_413CAF1F_62E2_41F5_A4C6_2C341582DC5D_.wvu.PrintArea" localSheetId="9" hidden="1">'06.03-06.09'!$A$1:$H$48</definedName>
    <definedName name="Z_413CAF1F_62E2_41F5_A4C6_2C341582DC5D_.wvu.PrintArea" localSheetId="10" hidden="1">'06.10-06.16'!$A$1:$H$48</definedName>
    <definedName name="Z_413CAF1F_62E2_41F5_A4C6_2C341582DC5D_.wvu.PrintArea" localSheetId="11" hidden="1">'06.17-06.23'!$A$1:$H$53</definedName>
    <definedName name="Z_413CAF1F_62E2_41F5_A4C6_2C341582DC5D_.wvu.PrintArea" localSheetId="12" hidden="1">'06.24-06.30'!$A$1:$H$54</definedName>
    <definedName name="Z_413CAF1F_62E2_41F5_A4C6_2C341582DC5D_.wvu.PrintArea" localSheetId="13" hidden="1">'07.01-07.07'!$A$1:$H$53</definedName>
    <definedName name="Z_413CAF1F_62E2_41F5_A4C6_2C341582DC5D_.wvu.PrintArea" localSheetId="14" hidden="1">'07.08-07.14'!$A$1:$H$52</definedName>
    <definedName name="Z_413CAF1F_62E2_41F5_A4C6_2C341582DC5D_.wvu.PrintArea" localSheetId="15" hidden="1">'07.15-07.21'!$A$1:$H$55</definedName>
    <definedName name="Z_413CAF1F_62E2_41F5_A4C6_2C341582DC5D_.wvu.PrintArea" localSheetId="16" hidden="1">'07.22-07.28'!$A$1:$H$54</definedName>
    <definedName name="Z_413CAF1F_62E2_41F5_A4C6_2C341582DC5D_.wvu.PrintArea" localSheetId="17" hidden="1">'07.29-08.04'!$A$1:$H$54</definedName>
    <definedName name="Z_413CAF1F_62E2_41F5_A4C6_2C341582DC5D_.wvu.PrintArea" localSheetId="18" hidden="1">'08.05-08.11'!$A$1:$H$52</definedName>
    <definedName name="Z_413CAF1F_62E2_41F5_A4C6_2C341582DC5D_.wvu.PrintArea" localSheetId="19" hidden="1">'08.12-08.18'!$A$1:$H$54</definedName>
    <definedName name="Z_413CAF1F_62E2_41F5_A4C6_2C341582DC5D_.wvu.PrintArea" localSheetId="20" hidden="1">'08.19-08.25'!$A$1:$H$54</definedName>
    <definedName name="Z_413CAF1F_62E2_41F5_A4C6_2C341582DC5D_.wvu.PrintArea" localSheetId="21" hidden="1">'08.26-09.01'!$A$1:$H$47</definedName>
    <definedName name="Z_413CAF1F_62E2_41F5_A4C6_2C341582DC5D_.wvu.PrintArea" localSheetId="22" hidden="1">'09.02-09.08'!$A$1:$H$54</definedName>
    <definedName name="Z_413CAF1F_62E2_41F5_A4C6_2C341582DC5D_.wvu.PrintArea" localSheetId="23" hidden="1">'09.09-09.15'!$A$1:$H$54</definedName>
    <definedName name="Z_413CAF1F_62E2_41F5_A4C6_2C341582DC5D_.wvu.PrintArea" localSheetId="24" hidden="1">'09.16-09.22'!$A$1:$H$54</definedName>
    <definedName name="Z_413CAF1F_62E2_41F5_A4C6_2C341582DC5D_.wvu.PrintArea" localSheetId="25" hidden="1">'09.23-09.29'!$A$1:$H$54</definedName>
    <definedName name="Z_413CAF1F_62E2_41F5_A4C6_2C341582DC5D_.wvu.PrintArea" localSheetId="26" hidden="1">'09.30-10.06'!$A$1:$H$54</definedName>
    <definedName name="Z_413CAF1F_62E2_41F5_A4C6_2C341582DC5D_.wvu.PrintArea" localSheetId="27" hidden="1">'10.07-10.13'!$A$1:$H$54</definedName>
    <definedName name="Z_413CAF1F_62E2_41F5_A4C6_2C341582DC5D_.wvu.PrintArea" localSheetId="28" hidden="1">'10.14-10.20'!$A$1:$H$54</definedName>
    <definedName name="Z_413CAF1F_62E2_41F5_A4C6_2C341582DC5D_.wvu.PrintArea" localSheetId="29" hidden="1">'10.21-10.27'!$A$1:$H$54</definedName>
    <definedName name="Z_413CAF1F_62E2_41F5_A4C6_2C341582DC5D_.wvu.PrintArea" localSheetId="30" hidden="1">'10.28-11.03'!$A$1:$H$54</definedName>
    <definedName name="Z_413CAF1F_62E2_41F5_A4C6_2C341582DC5D_.wvu.PrintArea" localSheetId="31" hidden="1">'11.04-11.10'!$A$1:$H$54</definedName>
    <definedName name="Z_413CAF1F_62E2_41F5_A4C6_2C341582DC5D_.wvu.PrintArea" localSheetId="32" hidden="1">'11.11-11.17'!$A$1:$H$54</definedName>
    <definedName name="Z_413CAF1F_62E2_41F5_A4C6_2C341582DC5D_.wvu.PrintArea" localSheetId="33" hidden="1">'11.18-11.24'!$A$1:$H$54</definedName>
    <definedName name="Z_413CAF1F_62E2_41F5_A4C6_2C341582DC5D_.wvu.PrintArea" localSheetId="34" hidden="1">'11.25-12.01'!$A$1:$H$54</definedName>
    <definedName name="Z_413CAF1F_62E2_41F5_A4C6_2C341582DC5D_.wvu.PrintArea" localSheetId="35" hidden="1">'12.02-12.08'!$A$1:$H$54</definedName>
    <definedName name="Z_413CAF1F_62E2_41F5_A4C6_2C341582DC5D_.wvu.PrintArea" localSheetId="36" hidden="1">'12.09-12.15'!$A$1:$H$54</definedName>
    <definedName name="Z_413CAF1F_62E2_41F5_A4C6_2C341582DC5D_.wvu.PrintArea" localSheetId="37" hidden="1">'12.16-12.22'!$A$1:$H$54</definedName>
    <definedName name="Z_413CAF1F_62E2_41F5_A4C6_2C341582DC5D_.wvu.PrintArea" localSheetId="38" hidden="1">'12.23-12.29'!$A$1:$H$54</definedName>
    <definedName name="Z_413CAF1F_62E2_41F5_A4C6_2C341582DC5D_.wvu.PrintTitles" localSheetId="0" hidden="1">'04.01-04.07'!$1:$1</definedName>
    <definedName name="Z_413CAF1F_62E2_41F5_A4C6_2C341582DC5D_.wvu.PrintTitles" localSheetId="2" hidden="1">'04.15-04.21'!$1:$1</definedName>
    <definedName name="Z_413CAF1F_62E2_41F5_A4C6_2C341582DC5D_.wvu.PrintTitles" localSheetId="3" hidden="1">'04.22-04.28'!$1:$1</definedName>
    <definedName name="Z_413CAF1F_62E2_41F5_A4C6_2C341582DC5D_.wvu.PrintTitles" localSheetId="4" hidden="1">'04.29-05.05'!$1:$1</definedName>
    <definedName name="Z_413CAF1F_62E2_41F5_A4C6_2C341582DC5D_.wvu.PrintTitles" localSheetId="5" hidden="1">'05.06-05.12'!$1:$1</definedName>
    <definedName name="Z_413CAF1F_62E2_41F5_A4C6_2C341582DC5D_.wvu.PrintTitles" localSheetId="6" hidden="1">'05.13-05.19'!$1:$1</definedName>
    <definedName name="Z_413CAF1F_62E2_41F5_A4C6_2C341582DC5D_.wvu.PrintTitles" localSheetId="7" hidden="1">'05.20-05.26'!$1:$1</definedName>
    <definedName name="Z_413CAF1F_62E2_41F5_A4C6_2C341582DC5D_.wvu.PrintTitles" localSheetId="8" hidden="1">'05.27-06.02'!$1:$1</definedName>
    <definedName name="Z_413CAF1F_62E2_41F5_A4C6_2C341582DC5D_.wvu.PrintTitles" localSheetId="9" hidden="1">'06.03-06.09'!$1:$1</definedName>
    <definedName name="Z_413CAF1F_62E2_41F5_A4C6_2C341582DC5D_.wvu.PrintTitles" localSheetId="10" hidden="1">'06.10-06.16'!$1:$1</definedName>
    <definedName name="Z_413CAF1F_62E2_41F5_A4C6_2C341582DC5D_.wvu.PrintTitles" localSheetId="11" hidden="1">'06.17-06.23'!$1:$1</definedName>
    <definedName name="Z_413CAF1F_62E2_41F5_A4C6_2C341582DC5D_.wvu.PrintTitles" localSheetId="12" hidden="1">'06.24-06.30'!$1:$1</definedName>
    <definedName name="Z_413CAF1F_62E2_41F5_A4C6_2C341582DC5D_.wvu.PrintTitles" localSheetId="13" hidden="1">'07.01-07.07'!$1:$1</definedName>
    <definedName name="Z_413CAF1F_62E2_41F5_A4C6_2C341582DC5D_.wvu.PrintTitles" localSheetId="14" hidden="1">'07.08-07.14'!$1:$1</definedName>
    <definedName name="Z_413CAF1F_62E2_41F5_A4C6_2C341582DC5D_.wvu.PrintTitles" localSheetId="15" hidden="1">'07.15-07.21'!$1:$1</definedName>
    <definedName name="Z_413CAF1F_62E2_41F5_A4C6_2C341582DC5D_.wvu.PrintTitles" localSheetId="16" hidden="1">'07.22-07.28'!$1:$1</definedName>
    <definedName name="Z_413CAF1F_62E2_41F5_A4C6_2C341582DC5D_.wvu.PrintTitles" localSheetId="17" hidden="1">'07.29-08.04'!$1:$1</definedName>
    <definedName name="Z_413CAF1F_62E2_41F5_A4C6_2C341582DC5D_.wvu.PrintTitles" localSheetId="18" hidden="1">'08.05-08.11'!$1:$1</definedName>
    <definedName name="Z_413CAF1F_62E2_41F5_A4C6_2C341582DC5D_.wvu.PrintTitles" localSheetId="19" hidden="1">'08.12-08.18'!$1:$1</definedName>
    <definedName name="Z_413CAF1F_62E2_41F5_A4C6_2C341582DC5D_.wvu.PrintTitles" localSheetId="20" hidden="1">'08.19-08.25'!$1:$1</definedName>
    <definedName name="Z_413CAF1F_62E2_41F5_A4C6_2C341582DC5D_.wvu.PrintTitles" localSheetId="21" hidden="1">'08.26-09.01'!$1:$1</definedName>
    <definedName name="Z_413CAF1F_62E2_41F5_A4C6_2C341582DC5D_.wvu.PrintTitles" localSheetId="22" hidden="1">'09.02-09.08'!$1:$1</definedName>
    <definedName name="Z_413CAF1F_62E2_41F5_A4C6_2C341582DC5D_.wvu.PrintTitles" localSheetId="23" hidden="1">'09.09-09.15'!$1:$1</definedName>
    <definedName name="Z_413CAF1F_62E2_41F5_A4C6_2C341582DC5D_.wvu.PrintTitles" localSheetId="24" hidden="1">'09.16-09.22'!$1:$1</definedName>
    <definedName name="Z_413CAF1F_62E2_41F5_A4C6_2C341582DC5D_.wvu.PrintTitles" localSheetId="25" hidden="1">'09.23-09.29'!$1:$1</definedName>
    <definedName name="Z_413CAF1F_62E2_41F5_A4C6_2C341582DC5D_.wvu.PrintTitles" localSheetId="26" hidden="1">'09.30-10.06'!$1:$1</definedName>
    <definedName name="Z_413CAF1F_62E2_41F5_A4C6_2C341582DC5D_.wvu.PrintTitles" localSheetId="27" hidden="1">'10.07-10.13'!$1:$1</definedName>
    <definedName name="Z_413CAF1F_62E2_41F5_A4C6_2C341582DC5D_.wvu.PrintTitles" localSheetId="28" hidden="1">'10.14-10.20'!$1:$1</definedName>
    <definedName name="Z_413CAF1F_62E2_41F5_A4C6_2C341582DC5D_.wvu.PrintTitles" localSheetId="29" hidden="1">'10.21-10.27'!$1:$1</definedName>
    <definedName name="Z_413CAF1F_62E2_41F5_A4C6_2C341582DC5D_.wvu.PrintTitles" localSheetId="30" hidden="1">'10.28-11.03'!$1:$1</definedName>
    <definedName name="Z_413CAF1F_62E2_41F5_A4C6_2C341582DC5D_.wvu.PrintTitles" localSheetId="31" hidden="1">'11.04-11.10'!$1:$1</definedName>
    <definedName name="Z_413CAF1F_62E2_41F5_A4C6_2C341582DC5D_.wvu.PrintTitles" localSheetId="32" hidden="1">'11.11-11.17'!$1:$1</definedName>
    <definedName name="Z_413CAF1F_62E2_41F5_A4C6_2C341582DC5D_.wvu.PrintTitles" localSheetId="33" hidden="1">'11.18-11.24'!$1:$1</definedName>
    <definedName name="Z_413CAF1F_62E2_41F5_A4C6_2C341582DC5D_.wvu.PrintTitles" localSheetId="34" hidden="1">'11.25-12.01'!$1:$1</definedName>
    <definedName name="Z_413CAF1F_62E2_41F5_A4C6_2C341582DC5D_.wvu.PrintTitles" localSheetId="35" hidden="1">'12.02-12.08'!$1:$1</definedName>
    <definedName name="Z_413CAF1F_62E2_41F5_A4C6_2C341582DC5D_.wvu.PrintTitles" localSheetId="36" hidden="1">'12.09-12.15'!$1:$1</definedName>
    <definedName name="Z_413CAF1F_62E2_41F5_A4C6_2C341582DC5D_.wvu.PrintTitles" localSheetId="37" hidden="1">'12.16-12.22'!$1:$1</definedName>
    <definedName name="Z_413CAF1F_62E2_41F5_A4C6_2C341582DC5D_.wvu.PrintTitles" localSheetId="38" hidden="1">'12.23-12.29'!$1:$1</definedName>
    <definedName name="Z_413CAF1F_62E2_41F5_A4C6_2C341582DC5D_.wvu.Rows" localSheetId="6" hidden="1">'05.13-05.19'!$23:$28</definedName>
    <definedName name="Z_413CAF1F_62E2_41F5_A4C6_2C341582DC5D_.wvu.Rows" localSheetId="7" hidden="1">'05.20-05.26'!$26:$32</definedName>
    <definedName name="Z_46540580_8292_4E21_84A5_B58390F70AE7_.wvu.PrintArea" localSheetId="0" hidden="1">'04.01-04.07'!$A$1:$H$60</definedName>
    <definedName name="Z_46540580_8292_4E21_84A5_B58390F70AE7_.wvu.PrintArea" localSheetId="2" hidden="1">'04.15-04.21'!$A$1:$H$55</definedName>
    <definedName name="Z_46540580_8292_4E21_84A5_B58390F70AE7_.wvu.PrintArea" localSheetId="3" hidden="1">'04.22-04.28'!$A$1:$H$53</definedName>
    <definedName name="Z_46540580_8292_4E21_84A5_B58390F70AE7_.wvu.PrintArea" localSheetId="4" hidden="1">'04.29-05.05'!$A$1:$H$54</definedName>
    <definedName name="Z_46540580_8292_4E21_84A5_B58390F70AE7_.wvu.PrintArea" localSheetId="5" hidden="1">'05.06-05.12'!$A$1:$H$53</definedName>
    <definedName name="Z_46540580_8292_4E21_84A5_B58390F70AE7_.wvu.PrintArea" localSheetId="6" hidden="1">'05.13-05.19'!$A$1:$H$55</definedName>
    <definedName name="Z_46540580_8292_4E21_84A5_B58390F70AE7_.wvu.PrintArea" localSheetId="7" hidden="1">'05.20-05.26'!$A$1:$H$55</definedName>
    <definedName name="Z_46540580_8292_4E21_84A5_B58390F70AE7_.wvu.PrintArea" localSheetId="8" hidden="1">'05.27-06.02'!$A$1:$H$45</definedName>
    <definedName name="Z_46540580_8292_4E21_84A5_B58390F70AE7_.wvu.PrintArea" localSheetId="11" hidden="1">'06.17-06.23'!$A$1:$I$49</definedName>
    <definedName name="Z_46540580_8292_4E21_84A5_B58390F70AE7_.wvu.PrintArea" localSheetId="12" hidden="1">'06.24-06.30'!$A$1:$I$50</definedName>
    <definedName name="Z_46540580_8292_4E21_84A5_B58390F70AE7_.wvu.PrintArea" localSheetId="13" hidden="1">'07.01-07.07'!$A$1:$I$49</definedName>
    <definedName name="Z_46540580_8292_4E21_84A5_B58390F70AE7_.wvu.PrintArea" localSheetId="14" hidden="1">'07.08-07.14'!$A$1:$I$52</definedName>
    <definedName name="Z_46540580_8292_4E21_84A5_B58390F70AE7_.wvu.PrintArea" localSheetId="15" hidden="1">'07.15-07.21'!$A$1:$I$55</definedName>
    <definedName name="Z_46540580_8292_4E21_84A5_B58390F70AE7_.wvu.PrintArea" localSheetId="17" hidden="1">'07.29-08.04'!$A$1:$H$54</definedName>
    <definedName name="Z_46540580_8292_4E21_84A5_B58390F70AE7_.wvu.PrintArea" localSheetId="18" hidden="1">'08.05-08.11'!$A$1:$H$52</definedName>
    <definedName name="Z_46540580_8292_4E21_84A5_B58390F70AE7_.wvu.PrintArea" localSheetId="19" hidden="1">'08.12-08.18'!$A$1:$H$54</definedName>
    <definedName name="Z_46540580_8292_4E21_84A5_B58390F70AE7_.wvu.PrintArea" localSheetId="20" hidden="1">'08.19-08.25'!$A$1:$H$54</definedName>
    <definedName name="Z_46540580_8292_4E21_84A5_B58390F70AE7_.wvu.PrintArea" localSheetId="23" hidden="1">'09.09-09.15'!$A$1:$H$54</definedName>
    <definedName name="Z_46540580_8292_4E21_84A5_B58390F70AE7_.wvu.PrintArea" localSheetId="24" hidden="1">'09.16-09.22'!$A$1:$H$54</definedName>
    <definedName name="Z_46540580_8292_4E21_84A5_B58390F70AE7_.wvu.PrintArea" localSheetId="25" hidden="1">'09.23-09.29'!$A$1:$H$54</definedName>
    <definedName name="Z_46540580_8292_4E21_84A5_B58390F70AE7_.wvu.PrintArea" localSheetId="26" hidden="1">'09.30-10.06'!$A$1:$H$54</definedName>
    <definedName name="Z_46540580_8292_4E21_84A5_B58390F70AE7_.wvu.PrintArea" localSheetId="27" hidden="1">'10.07-10.13'!$A$1:$H$54</definedName>
    <definedName name="Z_46540580_8292_4E21_84A5_B58390F70AE7_.wvu.PrintArea" localSheetId="28" hidden="1">'10.14-10.20'!$A$1:$H$54</definedName>
    <definedName name="Z_46540580_8292_4E21_84A5_B58390F70AE7_.wvu.PrintArea" localSheetId="29" hidden="1">'10.21-10.27'!$A$1:$H$54</definedName>
    <definedName name="Z_46540580_8292_4E21_84A5_B58390F70AE7_.wvu.PrintArea" localSheetId="30" hidden="1">'10.28-11.03'!$A$1:$H$54</definedName>
    <definedName name="Z_46540580_8292_4E21_84A5_B58390F70AE7_.wvu.PrintArea" localSheetId="31" hidden="1">'11.04-11.10'!$A$1:$H$54</definedName>
    <definedName name="Z_46540580_8292_4E21_84A5_B58390F70AE7_.wvu.PrintArea" localSheetId="32" hidden="1">'11.11-11.17'!$A$1:$H$54</definedName>
    <definedName name="Z_46540580_8292_4E21_84A5_B58390F70AE7_.wvu.PrintArea" localSheetId="33" hidden="1">'11.18-11.24'!$A$1:$H$54</definedName>
    <definedName name="Z_46540580_8292_4E21_84A5_B58390F70AE7_.wvu.PrintArea" localSheetId="34" hidden="1">'11.25-12.01'!$A$1:$H$54</definedName>
    <definedName name="Z_46540580_8292_4E21_84A5_B58390F70AE7_.wvu.PrintArea" localSheetId="35" hidden="1">'12.02-12.08'!$A$1:$H$54</definedName>
    <definedName name="Z_46540580_8292_4E21_84A5_B58390F70AE7_.wvu.PrintArea" localSheetId="36" hidden="1">'12.09-12.15'!$A$1:$H$54</definedName>
    <definedName name="Z_46540580_8292_4E21_84A5_B58390F70AE7_.wvu.PrintArea" localSheetId="37" hidden="1">'12.16-12.22'!$A$1:$H$54</definedName>
    <definedName name="Z_46540580_8292_4E21_84A5_B58390F70AE7_.wvu.PrintArea" localSheetId="38" hidden="1">'12.23-12.29'!$A$1:$H$54</definedName>
    <definedName name="Z_46540580_8292_4E21_84A5_B58390F70AE7_.wvu.PrintTitles" localSheetId="0" hidden="1">'04.01-04.07'!$1:$1</definedName>
    <definedName name="Z_46540580_8292_4E21_84A5_B58390F70AE7_.wvu.PrintTitles" localSheetId="2" hidden="1">'04.15-04.21'!$1:$1</definedName>
    <definedName name="Z_46540580_8292_4E21_84A5_B58390F70AE7_.wvu.PrintTitles" localSheetId="3" hidden="1">'04.22-04.28'!$1:$1</definedName>
    <definedName name="Z_46540580_8292_4E21_84A5_B58390F70AE7_.wvu.PrintTitles" localSheetId="4" hidden="1">'04.29-05.05'!$1:$1</definedName>
    <definedName name="Z_46540580_8292_4E21_84A5_B58390F70AE7_.wvu.PrintTitles" localSheetId="5" hidden="1">'05.06-05.12'!$1:$1</definedName>
    <definedName name="Z_46540580_8292_4E21_84A5_B58390F70AE7_.wvu.PrintTitles" localSheetId="6" hidden="1">'05.13-05.19'!$1:$1</definedName>
    <definedName name="Z_46540580_8292_4E21_84A5_B58390F70AE7_.wvu.PrintTitles" localSheetId="7" hidden="1">'05.20-05.26'!$1:$1</definedName>
    <definedName name="Z_46540580_8292_4E21_84A5_B58390F70AE7_.wvu.PrintTitles" localSheetId="8" hidden="1">'05.27-06.02'!$1:$1</definedName>
    <definedName name="Z_46540580_8292_4E21_84A5_B58390F70AE7_.wvu.PrintTitles" localSheetId="9" hidden="1">'06.03-06.09'!$1:$1</definedName>
    <definedName name="Z_46540580_8292_4E21_84A5_B58390F70AE7_.wvu.PrintTitles" localSheetId="10" hidden="1">'06.10-06.16'!$1:$1</definedName>
    <definedName name="Z_46540580_8292_4E21_84A5_B58390F70AE7_.wvu.PrintTitles" localSheetId="11" hidden="1">'06.17-06.23'!$1:$1</definedName>
    <definedName name="Z_46540580_8292_4E21_84A5_B58390F70AE7_.wvu.PrintTitles" localSheetId="12" hidden="1">'06.24-06.30'!$1:$1</definedName>
    <definedName name="Z_46540580_8292_4E21_84A5_B58390F70AE7_.wvu.PrintTitles" localSheetId="13" hidden="1">'07.01-07.07'!$1:$1</definedName>
    <definedName name="Z_46540580_8292_4E21_84A5_B58390F70AE7_.wvu.PrintTitles" localSheetId="14" hidden="1">'07.08-07.14'!$1:$1</definedName>
    <definedName name="Z_46540580_8292_4E21_84A5_B58390F70AE7_.wvu.PrintTitles" localSheetId="15" hidden="1">'07.15-07.21'!$1:$1</definedName>
    <definedName name="Z_46540580_8292_4E21_84A5_B58390F70AE7_.wvu.PrintTitles" localSheetId="16" hidden="1">'07.22-07.28'!$1:$1</definedName>
    <definedName name="Z_46540580_8292_4E21_84A5_B58390F70AE7_.wvu.PrintTitles" localSheetId="17" hidden="1">'07.29-08.04'!$1:$1</definedName>
    <definedName name="Z_46540580_8292_4E21_84A5_B58390F70AE7_.wvu.PrintTitles" localSheetId="18" hidden="1">'08.05-08.11'!$1:$1</definedName>
    <definedName name="Z_46540580_8292_4E21_84A5_B58390F70AE7_.wvu.PrintTitles" localSheetId="19" hidden="1">'08.12-08.18'!$1:$1</definedName>
    <definedName name="Z_46540580_8292_4E21_84A5_B58390F70AE7_.wvu.PrintTitles" localSheetId="20" hidden="1">'08.19-08.25'!$1:$1</definedName>
    <definedName name="Z_46540580_8292_4E21_84A5_B58390F70AE7_.wvu.PrintTitles" localSheetId="21" hidden="1">'08.26-09.01'!$1:$1</definedName>
    <definedName name="Z_46540580_8292_4E21_84A5_B58390F70AE7_.wvu.PrintTitles" localSheetId="22" hidden="1">'09.02-09.08'!$1:$1</definedName>
    <definedName name="Z_46540580_8292_4E21_84A5_B58390F70AE7_.wvu.PrintTitles" localSheetId="23" hidden="1">'09.09-09.15'!$1:$1</definedName>
    <definedName name="Z_46540580_8292_4E21_84A5_B58390F70AE7_.wvu.PrintTitles" localSheetId="24" hidden="1">'09.16-09.22'!$1:$1</definedName>
    <definedName name="Z_46540580_8292_4E21_84A5_B58390F70AE7_.wvu.PrintTitles" localSheetId="25" hidden="1">'09.23-09.29'!$1:$1</definedName>
    <definedName name="Z_46540580_8292_4E21_84A5_B58390F70AE7_.wvu.PrintTitles" localSheetId="26" hidden="1">'09.30-10.06'!$1:$1</definedName>
    <definedName name="Z_46540580_8292_4E21_84A5_B58390F70AE7_.wvu.PrintTitles" localSheetId="27" hidden="1">'10.07-10.13'!$1:$1</definedName>
    <definedName name="Z_46540580_8292_4E21_84A5_B58390F70AE7_.wvu.PrintTitles" localSheetId="28" hidden="1">'10.14-10.20'!$1:$1</definedName>
    <definedName name="Z_46540580_8292_4E21_84A5_B58390F70AE7_.wvu.PrintTitles" localSheetId="29" hidden="1">'10.21-10.27'!$1:$1</definedName>
    <definedName name="Z_46540580_8292_4E21_84A5_B58390F70AE7_.wvu.PrintTitles" localSheetId="30" hidden="1">'10.28-11.03'!$1:$1</definedName>
    <definedName name="Z_46540580_8292_4E21_84A5_B58390F70AE7_.wvu.PrintTitles" localSheetId="31" hidden="1">'11.04-11.10'!$1:$1</definedName>
    <definedName name="Z_46540580_8292_4E21_84A5_B58390F70AE7_.wvu.PrintTitles" localSheetId="32" hidden="1">'11.11-11.17'!$1:$1</definedName>
    <definedName name="Z_46540580_8292_4E21_84A5_B58390F70AE7_.wvu.PrintTitles" localSheetId="33" hidden="1">'11.18-11.24'!$1:$1</definedName>
    <definedName name="Z_46540580_8292_4E21_84A5_B58390F70AE7_.wvu.PrintTitles" localSheetId="34" hidden="1">'11.25-12.01'!$1:$1</definedName>
    <definedName name="Z_46540580_8292_4E21_84A5_B58390F70AE7_.wvu.PrintTitles" localSheetId="35" hidden="1">'12.02-12.08'!$1:$1</definedName>
    <definedName name="Z_46540580_8292_4E21_84A5_B58390F70AE7_.wvu.PrintTitles" localSheetId="36" hidden="1">'12.09-12.15'!$1:$1</definedName>
    <definedName name="Z_46540580_8292_4E21_84A5_B58390F70AE7_.wvu.PrintTitles" localSheetId="37" hidden="1">'12.16-12.22'!$1:$1</definedName>
    <definedName name="Z_46540580_8292_4E21_84A5_B58390F70AE7_.wvu.PrintTitles" localSheetId="38" hidden="1">'12.23-12.29'!$1:$1</definedName>
    <definedName name="Z_4B58F0A9_071E_4376_B7AD_463366669E19_.wvu.PrintArea" localSheetId="0" hidden="1">'04.01-04.07'!$A$1:$H$60</definedName>
    <definedName name="Z_4B58F0A9_071E_4376_B7AD_463366669E19_.wvu.PrintArea" localSheetId="2" hidden="1">'04.15-04.21'!$A$1:$H$55</definedName>
    <definedName name="Z_4B58F0A9_071E_4376_B7AD_463366669E19_.wvu.PrintArea" localSheetId="3" hidden="1">'04.22-04.28'!$A$1:$H$53</definedName>
    <definedName name="Z_4B58F0A9_071E_4376_B7AD_463366669E19_.wvu.PrintArea" localSheetId="4" hidden="1">'04.29-05.05'!$A$1:$H$54</definedName>
    <definedName name="Z_4B58F0A9_071E_4376_B7AD_463366669E19_.wvu.PrintArea" localSheetId="5" hidden="1">'05.06-05.12'!$A$1:$H$53</definedName>
    <definedName name="Z_4B58F0A9_071E_4376_B7AD_463366669E19_.wvu.PrintArea" localSheetId="6" hidden="1">'05.13-05.19'!$A$1:$H$55</definedName>
    <definedName name="Z_4B58F0A9_071E_4376_B7AD_463366669E19_.wvu.PrintArea" localSheetId="7" hidden="1">'05.20-05.26'!$A$1:$H$55</definedName>
    <definedName name="Z_4B58F0A9_071E_4376_B7AD_463366669E19_.wvu.PrintArea" localSheetId="8" hidden="1">'05.27-06.02'!$A$1:$H$45</definedName>
    <definedName name="Z_4B58F0A9_071E_4376_B7AD_463366669E19_.wvu.PrintArea" localSheetId="9" hidden="1">'06.03-06.09'!$A$1:$H$48</definedName>
    <definedName name="Z_4B58F0A9_071E_4376_B7AD_463366669E19_.wvu.PrintArea" localSheetId="10" hidden="1">'06.10-06.16'!$A$1:$H$48</definedName>
    <definedName name="Z_4B58F0A9_071E_4376_B7AD_463366669E19_.wvu.PrintArea" localSheetId="11" hidden="1">'06.17-06.23'!$A$1:$H$53</definedName>
    <definedName name="Z_4B58F0A9_071E_4376_B7AD_463366669E19_.wvu.PrintArea" localSheetId="12" hidden="1">'06.24-06.30'!$A$1:$H$54</definedName>
    <definedName name="Z_4B58F0A9_071E_4376_B7AD_463366669E19_.wvu.PrintArea" localSheetId="13" hidden="1">'07.01-07.07'!$A$1:$H$53</definedName>
    <definedName name="Z_4B58F0A9_071E_4376_B7AD_463366669E19_.wvu.PrintArea" localSheetId="14" hidden="1">'07.08-07.14'!$A$1:$H$52</definedName>
    <definedName name="Z_4B58F0A9_071E_4376_B7AD_463366669E19_.wvu.PrintArea" localSheetId="15" hidden="1">'07.15-07.21'!$A$1:$H$55</definedName>
    <definedName name="Z_4B58F0A9_071E_4376_B7AD_463366669E19_.wvu.PrintArea" localSheetId="16" hidden="1">'07.22-07.28'!$A$1:$H$54</definedName>
    <definedName name="Z_4B58F0A9_071E_4376_B7AD_463366669E19_.wvu.PrintArea" localSheetId="17" hidden="1">'07.29-08.04'!$A$1:$H$54</definedName>
    <definedName name="Z_4B58F0A9_071E_4376_B7AD_463366669E19_.wvu.PrintArea" localSheetId="18" hidden="1">'08.05-08.11'!$A$1:$H$52</definedName>
    <definedName name="Z_4B58F0A9_071E_4376_B7AD_463366669E19_.wvu.PrintArea" localSheetId="19" hidden="1">'08.12-08.18'!$A$1:$H$54</definedName>
    <definedName name="Z_4B58F0A9_071E_4376_B7AD_463366669E19_.wvu.PrintArea" localSheetId="20" hidden="1">'08.19-08.25'!$A$1:$H$54</definedName>
    <definedName name="Z_4B58F0A9_071E_4376_B7AD_463366669E19_.wvu.PrintArea" localSheetId="21" hidden="1">'08.26-09.01'!$A$1:$H$47</definedName>
    <definedName name="Z_4B58F0A9_071E_4376_B7AD_463366669E19_.wvu.PrintArea" localSheetId="22" hidden="1">'09.02-09.08'!$A$1:$H$54</definedName>
    <definedName name="Z_4B58F0A9_071E_4376_B7AD_463366669E19_.wvu.PrintArea" localSheetId="23" hidden="1">'09.09-09.15'!$A$1:$H$54</definedName>
    <definedName name="Z_4B58F0A9_071E_4376_B7AD_463366669E19_.wvu.PrintArea" localSheetId="24" hidden="1">'09.16-09.22'!$A$1:$H$54</definedName>
    <definedName name="Z_4B58F0A9_071E_4376_B7AD_463366669E19_.wvu.PrintArea" localSheetId="25" hidden="1">'09.23-09.29'!$A$1:$H$54</definedName>
    <definedName name="Z_4B58F0A9_071E_4376_B7AD_463366669E19_.wvu.PrintArea" localSheetId="26" hidden="1">'09.30-10.06'!$A$1:$H$54</definedName>
    <definedName name="Z_4B58F0A9_071E_4376_B7AD_463366669E19_.wvu.PrintArea" localSheetId="27" hidden="1">'10.07-10.13'!$A$1:$H$54</definedName>
    <definedName name="Z_4B58F0A9_071E_4376_B7AD_463366669E19_.wvu.PrintArea" localSheetId="28" hidden="1">'10.14-10.20'!$A$1:$H$54</definedName>
    <definedName name="Z_4B58F0A9_071E_4376_B7AD_463366669E19_.wvu.PrintArea" localSheetId="29" hidden="1">'10.21-10.27'!$A$1:$H$54</definedName>
    <definedName name="Z_4B58F0A9_071E_4376_B7AD_463366669E19_.wvu.PrintArea" localSheetId="30" hidden="1">'10.28-11.03'!$A$1:$H$54</definedName>
    <definedName name="Z_4B58F0A9_071E_4376_B7AD_463366669E19_.wvu.PrintArea" localSheetId="31" hidden="1">'11.04-11.10'!$A$1:$H$54</definedName>
    <definedName name="Z_4B58F0A9_071E_4376_B7AD_463366669E19_.wvu.PrintArea" localSheetId="32" hidden="1">'11.11-11.17'!$A$1:$H$54</definedName>
    <definedName name="Z_4B58F0A9_071E_4376_B7AD_463366669E19_.wvu.PrintArea" localSheetId="33" hidden="1">'11.18-11.24'!$A$1:$H$54</definedName>
    <definedName name="Z_4B58F0A9_071E_4376_B7AD_463366669E19_.wvu.PrintArea" localSheetId="34" hidden="1">'11.25-12.01'!$A$1:$H$54</definedName>
    <definedName name="Z_4B58F0A9_071E_4376_B7AD_463366669E19_.wvu.PrintArea" localSheetId="35" hidden="1">'12.02-12.08'!$A$1:$H$54</definedName>
    <definedName name="Z_4B58F0A9_071E_4376_B7AD_463366669E19_.wvu.PrintArea" localSheetId="36" hidden="1">'12.09-12.15'!$A$1:$H$54</definedName>
    <definedName name="Z_4B58F0A9_071E_4376_B7AD_463366669E19_.wvu.PrintArea" localSheetId="37" hidden="1">'12.16-12.22'!$A$1:$H$54</definedName>
    <definedName name="Z_4B58F0A9_071E_4376_B7AD_463366669E19_.wvu.PrintArea" localSheetId="38" hidden="1">'12.23-12.29'!$A$1:$H$54</definedName>
    <definedName name="Z_4B58F0A9_071E_4376_B7AD_463366669E19_.wvu.PrintTitles" localSheetId="0" hidden="1">'04.01-04.07'!$1:$1</definedName>
    <definedName name="Z_4B58F0A9_071E_4376_B7AD_463366669E19_.wvu.PrintTitles" localSheetId="2" hidden="1">'04.15-04.21'!$1:$1</definedName>
    <definedName name="Z_4B58F0A9_071E_4376_B7AD_463366669E19_.wvu.PrintTitles" localSheetId="3" hidden="1">'04.22-04.28'!$1:$1</definedName>
    <definedName name="Z_4B58F0A9_071E_4376_B7AD_463366669E19_.wvu.PrintTitles" localSheetId="4" hidden="1">'04.29-05.05'!$1:$1</definedName>
    <definedName name="Z_4B58F0A9_071E_4376_B7AD_463366669E19_.wvu.PrintTitles" localSheetId="5" hidden="1">'05.06-05.12'!$1:$1</definedName>
    <definedName name="Z_4B58F0A9_071E_4376_B7AD_463366669E19_.wvu.PrintTitles" localSheetId="6" hidden="1">'05.13-05.19'!$1:$1</definedName>
    <definedName name="Z_4B58F0A9_071E_4376_B7AD_463366669E19_.wvu.PrintTitles" localSheetId="7" hidden="1">'05.20-05.26'!$1:$1</definedName>
    <definedName name="Z_4B58F0A9_071E_4376_B7AD_463366669E19_.wvu.PrintTitles" localSheetId="8" hidden="1">'05.27-06.02'!$1:$1</definedName>
    <definedName name="Z_4B58F0A9_071E_4376_B7AD_463366669E19_.wvu.PrintTitles" localSheetId="9" hidden="1">'06.03-06.09'!$1:$1</definedName>
    <definedName name="Z_4B58F0A9_071E_4376_B7AD_463366669E19_.wvu.PrintTitles" localSheetId="10" hidden="1">'06.10-06.16'!$1:$1</definedName>
    <definedName name="Z_4B58F0A9_071E_4376_B7AD_463366669E19_.wvu.PrintTitles" localSheetId="11" hidden="1">'06.17-06.23'!$1:$1</definedName>
    <definedName name="Z_4B58F0A9_071E_4376_B7AD_463366669E19_.wvu.PrintTitles" localSheetId="12" hidden="1">'06.24-06.30'!$1:$1</definedName>
    <definedName name="Z_4B58F0A9_071E_4376_B7AD_463366669E19_.wvu.PrintTitles" localSheetId="13" hidden="1">'07.01-07.07'!$1:$1</definedName>
    <definedName name="Z_4B58F0A9_071E_4376_B7AD_463366669E19_.wvu.PrintTitles" localSheetId="14" hidden="1">'07.08-07.14'!$1:$1</definedName>
    <definedName name="Z_4B58F0A9_071E_4376_B7AD_463366669E19_.wvu.PrintTitles" localSheetId="15" hidden="1">'07.15-07.21'!$1:$1</definedName>
    <definedName name="Z_4B58F0A9_071E_4376_B7AD_463366669E19_.wvu.PrintTitles" localSheetId="16" hidden="1">'07.22-07.28'!$1:$1</definedName>
    <definedName name="Z_4B58F0A9_071E_4376_B7AD_463366669E19_.wvu.PrintTitles" localSheetId="17" hidden="1">'07.29-08.04'!$1:$1</definedName>
    <definedName name="Z_4B58F0A9_071E_4376_B7AD_463366669E19_.wvu.PrintTitles" localSheetId="18" hidden="1">'08.05-08.11'!$1:$1</definedName>
    <definedName name="Z_4B58F0A9_071E_4376_B7AD_463366669E19_.wvu.PrintTitles" localSheetId="19" hidden="1">'08.12-08.18'!$1:$1</definedName>
    <definedName name="Z_4B58F0A9_071E_4376_B7AD_463366669E19_.wvu.PrintTitles" localSheetId="20" hidden="1">'08.19-08.25'!$1:$1</definedName>
    <definedName name="Z_4B58F0A9_071E_4376_B7AD_463366669E19_.wvu.PrintTitles" localSheetId="21" hidden="1">'08.26-09.01'!$1:$1</definedName>
    <definedName name="Z_4B58F0A9_071E_4376_B7AD_463366669E19_.wvu.PrintTitles" localSheetId="22" hidden="1">'09.02-09.08'!$1:$1</definedName>
    <definedName name="Z_4B58F0A9_071E_4376_B7AD_463366669E19_.wvu.PrintTitles" localSheetId="23" hidden="1">'09.09-09.15'!$1:$1</definedName>
    <definedName name="Z_4B58F0A9_071E_4376_B7AD_463366669E19_.wvu.PrintTitles" localSheetId="24" hidden="1">'09.16-09.22'!$1:$1</definedName>
    <definedName name="Z_4B58F0A9_071E_4376_B7AD_463366669E19_.wvu.PrintTitles" localSheetId="25" hidden="1">'09.23-09.29'!$1:$1</definedName>
    <definedName name="Z_4B58F0A9_071E_4376_B7AD_463366669E19_.wvu.PrintTitles" localSheetId="26" hidden="1">'09.30-10.06'!$1:$1</definedName>
    <definedName name="Z_4B58F0A9_071E_4376_B7AD_463366669E19_.wvu.PrintTitles" localSheetId="27" hidden="1">'10.07-10.13'!$1:$1</definedName>
    <definedName name="Z_4B58F0A9_071E_4376_B7AD_463366669E19_.wvu.PrintTitles" localSheetId="28" hidden="1">'10.14-10.20'!$1:$1</definedName>
    <definedName name="Z_4B58F0A9_071E_4376_B7AD_463366669E19_.wvu.PrintTitles" localSheetId="29" hidden="1">'10.21-10.27'!$1:$1</definedName>
    <definedName name="Z_4B58F0A9_071E_4376_B7AD_463366669E19_.wvu.PrintTitles" localSheetId="30" hidden="1">'10.28-11.03'!$1:$1</definedName>
    <definedName name="Z_4B58F0A9_071E_4376_B7AD_463366669E19_.wvu.PrintTitles" localSheetId="31" hidden="1">'11.04-11.10'!$1:$1</definedName>
    <definedName name="Z_4B58F0A9_071E_4376_B7AD_463366669E19_.wvu.PrintTitles" localSheetId="32" hidden="1">'11.11-11.17'!$1:$1</definedName>
    <definedName name="Z_4B58F0A9_071E_4376_B7AD_463366669E19_.wvu.PrintTitles" localSheetId="33" hidden="1">'11.18-11.24'!$1:$1</definedName>
    <definedName name="Z_4B58F0A9_071E_4376_B7AD_463366669E19_.wvu.PrintTitles" localSheetId="34" hidden="1">'11.25-12.01'!$1:$1</definedName>
    <definedName name="Z_4B58F0A9_071E_4376_B7AD_463366669E19_.wvu.PrintTitles" localSheetId="35" hidden="1">'12.02-12.08'!$1:$1</definedName>
    <definedName name="Z_4B58F0A9_071E_4376_B7AD_463366669E19_.wvu.PrintTitles" localSheetId="36" hidden="1">'12.09-12.15'!$1:$1</definedName>
    <definedName name="Z_4B58F0A9_071E_4376_B7AD_463366669E19_.wvu.PrintTitles" localSheetId="37" hidden="1">'12.16-12.22'!$1:$1</definedName>
    <definedName name="Z_4B58F0A9_071E_4376_B7AD_463366669E19_.wvu.PrintTitles" localSheetId="38" hidden="1">'12.23-12.29'!$1:$1</definedName>
    <definedName name="Z_4B58F0A9_071E_4376_B7AD_463366669E19_.wvu.Rows" localSheetId="6" hidden="1">'05.13-05.19'!$23:$28</definedName>
    <definedName name="Z_4B58F0A9_071E_4376_B7AD_463366669E19_.wvu.Rows" localSheetId="7" hidden="1">'05.20-05.26'!$26:$32</definedName>
    <definedName name="Z_4C7C4345_D832_4452_B223_3E4A3FAA8500_.wvu.PrintArea" localSheetId="0" hidden="1">'04.01-04.07'!$A$1:$H$60</definedName>
    <definedName name="Z_4C7C4345_D832_4452_B223_3E4A3FAA8500_.wvu.PrintArea" localSheetId="2" hidden="1">'04.15-04.21'!$A$1:$H$55</definedName>
    <definedName name="Z_4C7C4345_D832_4452_B223_3E4A3FAA8500_.wvu.PrintArea" localSheetId="3" hidden="1">'04.22-04.28'!$A$1:$H$53</definedName>
    <definedName name="Z_4C7C4345_D832_4452_B223_3E4A3FAA8500_.wvu.PrintArea" localSheetId="4" hidden="1">'04.29-05.05'!$A$1:$H$54</definedName>
    <definedName name="Z_4C7C4345_D832_4452_B223_3E4A3FAA8500_.wvu.PrintArea" localSheetId="5" hidden="1">'05.06-05.12'!$A$1:$H$53</definedName>
    <definedName name="Z_4C7C4345_D832_4452_B223_3E4A3FAA8500_.wvu.PrintArea" localSheetId="6" hidden="1">'05.13-05.19'!$A$1:$H$55</definedName>
    <definedName name="Z_4C7C4345_D832_4452_B223_3E4A3FAA8500_.wvu.PrintArea" localSheetId="7" hidden="1">'05.20-05.26'!$A$1:$H$55</definedName>
    <definedName name="Z_4C7C4345_D832_4452_B223_3E4A3FAA8500_.wvu.PrintArea" localSheetId="8" hidden="1">'05.27-06.02'!$A$1:$H$45</definedName>
    <definedName name="Z_4C7C4345_D832_4452_B223_3E4A3FAA8500_.wvu.PrintArea" localSheetId="9" hidden="1">'06.03-06.09'!$A$1:$H$48</definedName>
    <definedName name="Z_4C7C4345_D832_4452_B223_3E4A3FAA8500_.wvu.PrintArea" localSheetId="10" hidden="1">'06.10-06.16'!$A$1:$H$48</definedName>
    <definedName name="Z_4C7C4345_D832_4452_B223_3E4A3FAA8500_.wvu.PrintArea" localSheetId="11" hidden="1">'06.17-06.23'!$A$1:$H$53</definedName>
    <definedName name="Z_4C7C4345_D832_4452_B223_3E4A3FAA8500_.wvu.PrintArea" localSheetId="12" hidden="1">'06.24-06.30'!$A$1:$H$54</definedName>
    <definedName name="Z_4C7C4345_D832_4452_B223_3E4A3FAA8500_.wvu.PrintArea" localSheetId="13" hidden="1">'07.01-07.07'!$A$1:$H$53</definedName>
    <definedName name="Z_4C7C4345_D832_4452_B223_3E4A3FAA8500_.wvu.PrintArea" localSheetId="14" hidden="1">'07.08-07.14'!$A$1:$H$52</definedName>
    <definedName name="Z_4C7C4345_D832_4452_B223_3E4A3FAA8500_.wvu.PrintArea" localSheetId="15" hidden="1">'07.15-07.21'!$A$1:$H$55</definedName>
    <definedName name="Z_4C7C4345_D832_4452_B223_3E4A3FAA8500_.wvu.PrintArea" localSheetId="16" hidden="1">'07.22-07.28'!$A$1:$H$54</definedName>
    <definedName name="Z_4C7C4345_D832_4452_B223_3E4A3FAA8500_.wvu.PrintArea" localSheetId="17" hidden="1">'07.29-08.04'!$A$1:$H$54</definedName>
    <definedName name="Z_4C7C4345_D832_4452_B223_3E4A3FAA8500_.wvu.PrintArea" localSheetId="18" hidden="1">'08.05-08.11'!$A$1:$H$52</definedName>
    <definedName name="Z_4C7C4345_D832_4452_B223_3E4A3FAA8500_.wvu.PrintArea" localSheetId="19" hidden="1">'08.12-08.18'!$A$1:$H$54</definedName>
    <definedName name="Z_4C7C4345_D832_4452_B223_3E4A3FAA8500_.wvu.PrintArea" localSheetId="20" hidden="1">'08.19-08.25'!$A$1:$H$54</definedName>
    <definedName name="Z_4C7C4345_D832_4452_B223_3E4A3FAA8500_.wvu.PrintArea" localSheetId="21" hidden="1">'08.26-09.01'!$A$1:$H$47</definedName>
    <definedName name="Z_4C7C4345_D832_4452_B223_3E4A3FAA8500_.wvu.PrintArea" localSheetId="22" hidden="1">'09.02-09.08'!$A$1:$H$54</definedName>
    <definedName name="Z_4C7C4345_D832_4452_B223_3E4A3FAA8500_.wvu.PrintArea" localSheetId="23" hidden="1">'09.09-09.15'!$A$1:$H$54</definedName>
    <definedName name="Z_4C7C4345_D832_4452_B223_3E4A3FAA8500_.wvu.PrintArea" localSheetId="24" hidden="1">'09.16-09.22'!$A$1:$H$54</definedName>
    <definedName name="Z_4C7C4345_D832_4452_B223_3E4A3FAA8500_.wvu.PrintArea" localSheetId="25" hidden="1">'09.23-09.29'!$A$1:$H$54</definedName>
    <definedName name="Z_4C7C4345_D832_4452_B223_3E4A3FAA8500_.wvu.PrintArea" localSheetId="26" hidden="1">'09.30-10.06'!$A$1:$H$54</definedName>
    <definedName name="Z_4C7C4345_D832_4452_B223_3E4A3FAA8500_.wvu.PrintArea" localSheetId="27" hidden="1">'10.07-10.13'!$A$1:$H$54</definedName>
    <definedName name="Z_4C7C4345_D832_4452_B223_3E4A3FAA8500_.wvu.PrintArea" localSheetId="28" hidden="1">'10.14-10.20'!$A$1:$H$54</definedName>
    <definedName name="Z_4C7C4345_D832_4452_B223_3E4A3FAA8500_.wvu.PrintArea" localSheetId="29" hidden="1">'10.21-10.27'!$A$1:$H$54</definedName>
    <definedName name="Z_4C7C4345_D832_4452_B223_3E4A3FAA8500_.wvu.PrintArea" localSheetId="30" hidden="1">'10.28-11.03'!$A$1:$H$54</definedName>
    <definedName name="Z_4C7C4345_D832_4452_B223_3E4A3FAA8500_.wvu.PrintArea" localSheetId="31" hidden="1">'11.04-11.10'!$A$1:$H$54</definedName>
    <definedName name="Z_4C7C4345_D832_4452_B223_3E4A3FAA8500_.wvu.PrintArea" localSheetId="32" hidden="1">'11.11-11.17'!$A$1:$H$54</definedName>
    <definedName name="Z_4C7C4345_D832_4452_B223_3E4A3FAA8500_.wvu.PrintArea" localSheetId="33" hidden="1">'11.18-11.24'!$A$1:$H$54</definedName>
    <definedName name="Z_4C7C4345_D832_4452_B223_3E4A3FAA8500_.wvu.PrintArea" localSheetId="34" hidden="1">'11.25-12.01'!$A$1:$H$54</definedName>
    <definedName name="Z_4C7C4345_D832_4452_B223_3E4A3FAA8500_.wvu.PrintArea" localSheetId="35" hidden="1">'12.02-12.08'!$A$1:$H$54</definedName>
    <definedName name="Z_4C7C4345_D832_4452_B223_3E4A3FAA8500_.wvu.PrintArea" localSheetId="36" hidden="1">'12.09-12.15'!$A$1:$H$54</definedName>
    <definedName name="Z_4C7C4345_D832_4452_B223_3E4A3FAA8500_.wvu.PrintArea" localSheetId="37" hidden="1">'12.16-12.22'!$A$1:$H$54</definedName>
    <definedName name="Z_4C7C4345_D832_4452_B223_3E4A3FAA8500_.wvu.PrintArea" localSheetId="38" hidden="1">'12.23-12.29'!$A$1:$H$54</definedName>
    <definedName name="Z_4C7C4345_D832_4452_B223_3E4A3FAA8500_.wvu.PrintTitles" localSheetId="0" hidden="1">'04.01-04.07'!$1:$1</definedName>
    <definedName name="Z_4C7C4345_D832_4452_B223_3E4A3FAA8500_.wvu.PrintTitles" localSheetId="2" hidden="1">'04.15-04.21'!$1:$1</definedName>
    <definedName name="Z_4C7C4345_D832_4452_B223_3E4A3FAA8500_.wvu.PrintTitles" localSheetId="3" hidden="1">'04.22-04.28'!$1:$1</definedName>
    <definedName name="Z_4C7C4345_D832_4452_B223_3E4A3FAA8500_.wvu.PrintTitles" localSheetId="4" hidden="1">'04.29-05.05'!$1:$1</definedName>
    <definedName name="Z_4C7C4345_D832_4452_B223_3E4A3FAA8500_.wvu.PrintTitles" localSheetId="5" hidden="1">'05.06-05.12'!$1:$1</definedName>
    <definedName name="Z_4C7C4345_D832_4452_B223_3E4A3FAA8500_.wvu.PrintTitles" localSheetId="6" hidden="1">'05.13-05.19'!$1:$1</definedName>
    <definedName name="Z_4C7C4345_D832_4452_B223_3E4A3FAA8500_.wvu.PrintTitles" localSheetId="7" hidden="1">'05.20-05.26'!$1:$1</definedName>
    <definedName name="Z_4C7C4345_D832_4452_B223_3E4A3FAA8500_.wvu.PrintTitles" localSheetId="8" hidden="1">'05.27-06.02'!$1:$1</definedName>
    <definedName name="Z_4C7C4345_D832_4452_B223_3E4A3FAA8500_.wvu.PrintTitles" localSheetId="9" hidden="1">'06.03-06.09'!$1:$1</definedName>
    <definedName name="Z_4C7C4345_D832_4452_B223_3E4A3FAA8500_.wvu.PrintTitles" localSheetId="10" hidden="1">'06.10-06.16'!$1:$1</definedName>
    <definedName name="Z_4C7C4345_D832_4452_B223_3E4A3FAA8500_.wvu.PrintTitles" localSheetId="11" hidden="1">'06.17-06.23'!$1:$1</definedName>
    <definedName name="Z_4C7C4345_D832_4452_B223_3E4A3FAA8500_.wvu.PrintTitles" localSheetId="12" hidden="1">'06.24-06.30'!$1:$1</definedName>
    <definedName name="Z_4C7C4345_D832_4452_B223_3E4A3FAA8500_.wvu.PrintTitles" localSheetId="13" hidden="1">'07.01-07.07'!$1:$1</definedName>
    <definedName name="Z_4C7C4345_D832_4452_B223_3E4A3FAA8500_.wvu.PrintTitles" localSheetId="14" hidden="1">'07.08-07.14'!$1:$1</definedName>
    <definedName name="Z_4C7C4345_D832_4452_B223_3E4A3FAA8500_.wvu.PrintTitles" localSheetId="15" hidden="1">'07.15-07.21'!$1:$1</definedName>
    <definedName name="Z_4C7C4345_D832_4452_B223_3E4A3FAA8500_.wvu.PrintTitles" localSheetId="16" hidden="1">'07.22-07.28'!$1:$1</definedName>
    <definedName name="Z_4C7C4345_D832_4452_B223_3E4A3FAA8500_.wvu.PrintTitles" localSheetId="17" hidden="1">'07.29-08.04'!$1:$1</definedName>
    <definedName name="Z_4C7C4345_D832_4452_B223_3E4A3FAA8500_.wvu.PrintTitles" localSheetId="18" hidden="1">'08.05-08.11'!$1:$1</definedName>
    <definedName name="Z_4C7C4345_D832_4452_B223_3E4A3FAA8500_.wvu.PrintTitles" localSheetId="19" hidden="1">'08.12-08.18'!$1:$1</definedName>
    <definedName name="Z_4C7C4345_D832_4452_B223_3E4A3FAA8500_.wvu.PrintTitles" localSheetId="20" hidden="1">'08.19-08.25'!$1:$1</definedName>
    <definedName name="Z_4C7C4345_D832_4452_B223_3E4A3FAA8500_.wvu.PrintTitles" localSheetId="21" hidden="1">'08.26-09.01'!$1:$1</definedName>
    <definedName name="Z_4C7C4345_D832_4452_B223_3E4A3FAA8500_.wvu.PrintTitles" localSheetId="22" hidden="1">'09.02-09.08'!$1:$1</definedName>
    <definedName name="Z_4C7C4345_D832_4452_B223_3E4A3FAA8500_.wvu.PrintTitles" localSheetId="23" hidden="1">'09.09-09.15'!$1:$1</definedName>
    <definedName name="Z_4C7C4345_D832_4452_B223_3E4A3FAA8500_.wvu.PrintTitles" localSheetId="24" hidden="1">'09.16-09.22'!$1:$1</definedName>
    <definedName name="Z_4C7C4345_D832_4452_B223_3E4A3FAA8500_.wvu.PrintTitles" localSheetId="25" hidden="1">'09.23-09.29'!$1:$1</definedName>
    <definedName name="Z_4C7C4345_D832_4452_B223_3E4A3FAA8500_.wvu.PrintTitles" localSheetId="26" hidden="1">'09.30-10.06'!$1:$1</definedName>
    <definedName name="Z_4C7C4345_D832_4452_B223_3E4A3FAA8500_.wvu.PrintTitles" localSheetId="27" hidden="1">'10.07-10.13'!$1:$1</definedName>
    <definedName name="Z_4C7C4345_D832_4452_B223_3E4A3FAA8500_.wvu.PrintTitles" localSheetId="28" hidden="1">'10.14-10.20'!$1:$1</definedName>
    <definedName name="Z_4C7C4345_D832_4452_B223_3E4A3FAA8500_.wvu.PrintTitles" localSheetId="29" hidden="1">'10.21-10.27'!$1:$1</definedName>
    <definedName name="Z_4C7C4345_D832_4452_B223_3E4A3FAA8500_.wvu.PrintTitles" localSheetId="30" hidden="1">'10.28-11.03'!$1:$1</definedName>
    <definedName name="Z_4C7C4345_D832_4452_B223_3E4A3FAA8500_.wvu.PrintTitles" localSheetId="31" hidden="1">'11.04-11.10'!$1:$1</definedName>
    <definedName name="Z_4C7C4345_D832_4452_B223_3E4A3FAA8500_.wvu.PrintTitles" localSheetId="32" hidden="1">'11.11-11.17'!$1:$1</definedName>
    <definedName name="Z_4C7C4345_D832_4452_B223_3E4A3FAA8500_.wvu.PrintTitles" localSheetId="33" hidden="1">'11.18-11.24'!$1:$1</definedName>
    <definedName name="Z_4C7C4345_D832_4452_B223_3E4A3FAA8500_.wvu.PrintTitles" localSheetId="34" hidden="1">'11.25-12.01'!$1:$1</definedName>
    <definedName name="Z_4C7C4345_D832_4452_B223_3E4A3FAA8500_.wvu.PrintTitles" localSheetId="35" hidden="1">'12.02-12.08'!$1:$1</definedName>
    <definedName name="Z_4C7C4345_D832_4452_B223_3E4A3FAA8500_.wvu.PrintTitles" localSheetId="36" hidden="1">'12.09-12.15'!$1:$1</definedName>
    <definedName name="Z_4C7C4345_D832_4452_B223_3E4A3FAA8500_.wvu.PrintTitles" localSheetId="37" hidden="1">'12.16-12.22'!$1:$1</definedName>
    <definedName name="Z_4C7C4345_D832_4452_B223_3E4A3FAA8500_.wvu.PrintTitles" localSheetId="38" hidden="1">'12.23-12.29'!$1:$1</definedName>
    <definedName name="Z_63A8D7FC_210D_4D74_8AB0_DBA9D993D16B_.wvu.PrintArea" localSheetId="0" hidden="1">'04.01-04.07'!$A$1:$H$60</definedName>
    <definedName name="Z_63A8D7FC_210D_4D74_8AB0_DBA9D993D16B_.wvu.PrintArea" localSheetId="2" hidden="1">'04.15-04.21'!$A$1:$H$55</definedName>
    <definedName name="Z_63A8D7FC_210D_4D74_8AB0_DBA9D993D16B_.wvu.PrintArea" localSheetId="3" hidden="1">'04.22-04.28'!$A$1:$H$53</definedName>
    <definedName name="Z_63A8D7FC_210D_4D74_8AB0_DBA9D993D16B_.wvu.PrintArea" localSheetId="4" hidden="1">'04.29-05.05'!$A$1:$H$54</definedName>
    <definedName name="Z_63A8D7FC_210D_4D74_8AB0_DBA9D993D16B_.wvu.PrintArea" localSheetId="5" hidden="1">'05.06-05.12'!$A$1:$H$53</definedName>
    <definedName name="Z_63A8D7FC_210D_4D74_8AB0_DBA9D993D16B_.wvu.PrintArea" localSheetId="6" hidden="1">'05.13-05.19'!$A$1:$H$55</definedName>
    <definedName name="Z_63A8D7FC_210D_4D74_8AB0_DBA9D993D16B_.wvu.PrintArea" localSheetId="7" hidden="1">'05.20-05.26'!$A$1:$H$55</definedName>
    <definedName name="Z_63A8D7FC_210D_4D74_8AB0_DBA9D993D16B_.wvu.PrintArea" localSheetId="8" hidden="1">'05.27-06.02'!$A$1:$H$45</definedName>
    <definedName name="Z_63A8D7FC_210D_4D74_8AB0_DBA9D993D16B_.wvu.PrintArea" localSheetId="9" hidden="1">'06.03-06.09'!$A$1:$H$48</definedName>
    <definedName name="Z_63A8D7FC_210D_4D74_8AB0_DBA9D993D16B_.wvu.PrintArea" localSheetId="10" hidden="1">'06.10-06.16'!$A$1:$H$48</definedName>
    <definedName name="Z_63A8D7FC_210D_4D74_8AB0_DBA9D993D16B_.wvu.PrintArea" localSheetId="11" hidden="1">'06.17-06.23'!$A$1:$H$53</definedName>
    <definedName name="Z_63A8D7FC_210D_4D74_8AB0_DBA9D993D16B_.wvu.PrintArea" localSheetId="12" hidden="1">'06.24-06.30'!$A$1:$H$54</definedName>
    <definedName name="Z_63A8D7FC_210D_4D74_8AB0_DBA9D993D16B_.wvu.PrintArea" localSheetId="13" hidden="1">'07.01-07.07'!$A$1:$H$53</definedName>
    <definedName name="Z_63A8D7FC_210D_4D74_8AB0_DBA9D993D16B_.wvu.PrintArea" localSheetId="14" hidden="1">'07.08-07.14'!$A$1:$H$52</definedName>
    <definedName name="Z_63A8D7FC_210D_4D74_8AB0_DBA9D993D16B_.wvu.PrintArea" localSheetId="15" hidden="1">'07.15-07.21'!$A$1:$H$55</definedName>
    <definedName name="Z_63A8D7FC_210D_4D74_8AB0_DBA9D993D16B_.wvu.PrintArea" localSheetId="16" hidden="1">'07.22-07.28'!$A$1:$H$54</definedName>
    <definedName name="Z_63A8D7FC_210D_4D74_8AB0_DBA9D993D16B_.wvu.PrintArea" localSheetId="17" hidden="1">'07.29-08.04'!$A$1:$H$54</definedName>
    <definedName name="Z_63A8D7FC_210D_4D74_8AB0_DBA9D993D16B_.wvu.PrintArea" localSheetId="18" hidden="1">'08.05-08.11'!$A$1:$H$52</definedName>
    <definedName name="Z_63A8D7FC_210D_4D74_8AB0_DBA9D993D16B_.wvu.PrintArea" localSheetId="19" hidden="1">'08.12-08.18'!$A$1:$H$54</definedName>
    <definedName name="Z_63A8D7FC_210D_4D74_8AB0_DBA9D993D16B_.wvu.PrintArea" localSheetId="20" hidden="1">'08.19-08.25'!$A$1:$H$54</definedName>
    <definedName name="Z_63A8D7FC_210D_4D74_8AB0_DBA9D993D16B_.wvu.PrintArea" localSheetId="21" hidden="1">'08.26-09.01'!$A$1:$H$47</definedName>
    <definedName name="Z_63A8D7FC_210D_4D74_8AB0_DBA9D993D16B_.wvu.PrintArea" localSheetId="22" hidden="1">'09.02-09.08'!$A$1:$H$54</definedName>
    <definedName name="Z_63A8D7FC_210D_4D74_8AB0_DBA9D993D16B_.wvu.PrintArea" localSheetId="23" hidden="1">'09.09-09.15'!$A$1:$H$54</definedName>
    <definedName name="Z_63A8D7FC_210D_4D74_8AB0_DBA9D993D16B_.wvu.PrintArea" localSheetId="24" hidden="1">'09.16-09.22'!$A$1:$H$54</definedName>
    <definedName name="Z_63A8D7FC_210D_4D74_8AB0_DBA9D993D16B_.wvu.PrintArea" localSheetId="25" hidden="1">'09.23-09.29'!$A$1:$H$54</definedName>
    <definedName name="Z_63A8D7FC_210D_4D74_8AB0_DBA9D993D16B_.wvu.PrintArea" localSheetId="26" hidden="1">'09.30-10.06'!$A$1:$H$54</definedName>
    <definedName name="Z_63A8D7FC_210D_4D74_8AB0_DBA9D993D16B_.wvu.PrintArea" localSheetId="27" hidden="1">'10.07-10.13'!$A$1:$H$54</definedName>
    <definedName name="Z_63A8D7FC_210D_4D74_8AB0_DBA9D993D16B_.wvu.PrintArea" localSheetId="28" hidden="1">'10.14-10.20'!$A$1:$H$54</definedName>
    <definedName name="Z_63A8D7FC_210D_4D74_8AB0_DBA9D993D16B_.wvu.PrintArea" localSheetId="29" hidden="1">'10.21-10.27'!$A$1:$H$54</definedName>
    <definedName name="Z_63A8D7FC_210D_4D74_8AB0_DBA9D993D16B_.wvu.PrintArea" localSheetId="30" hidden="1">'10.28-11.03'!$A$1:$H$54</definedName>
    <definedName name="Z_63A8D7FC_210D_4D74_8AB0_DBA9D993D16B_.wvu.PrintArea" localSheetId="31" hidden="1">'11.04-11.10'!$A$1:$H$54</definedName>
    <definedName name="Z_63A8D7FC_210D_4D74_8AB0_DBA9D993D16B_.wvu.PrintArea" localSheetId="32" hidden="1">'11.11-11.17'!$A$1:$H$54</definedName>
    <definedName name="Z_63A8D7FC_210D_4D74_8AB0_DBA9D993D16B_.wvu.PrintArea" localSheetId="33" hidden="1">'11.18-11.24'!$A$1:$H$54</definedName>
    <definedName name="Z_63A8D7FC_210D_4D74_8AB0_DBA9D993D16B_.wvu.PrintArea" localSheetId="34" hidden="1">'11.25-12.01'!$A$1:$H$54</definedName>
    <definedName name="Z_63A8D7FC_210D_4D74_8AB0_DBA9D993D16B_.wvu.PrintArea" localSheetId="35" hidden="1">'12.02-12.08'!$A$1:$H$54</definedName>
    <definedName name="Z_63A8D7FC_210D_4D74_8AB0_DBA9D993D16B_.wvu.PrintArea" localSheetId="36" hidden="1">'12.09-12.15'!$A$1:$H$54</definedName>
    <definedName name="Z_63A8D7FC_210D_4D74_8AB0_DBA9D993D16B_.wvu.PrintArea" localSheetId="37" hidden="1">'12.16-12.22'!$A$1:$H$54</definedName>
    <definedName name="Z_63A8D7FC_210D_4D74_8AB0_DBA9D993D16B_.wvu.PrintArea" localSheetId="38" hidden="1">'12.23-12.29'!$A$1:$H$54</definedName>
    <definedName name="Z_63A8D7FC_210D_4D74_8AB0_DBA9D993D16B_.wvu.PrintTitles" localSheetId="0" hidden="1">'04.01-04.07'!$1:$1</definedName>
    <definedName name="Z_63A8D7FC_210D_4D74_8AB0_DBA9D993D16B_.wvu.PrintTitles" localSheetId="2" hidden="1">'04.15-04.21'!$1:$1</definedName>
    <definedName name="Z_63A8D7FC_210D_4D74_8AB0_DBA9D993D16B_.wvu.PrintTitles" localSheetId="3" hidden="1">'04.22-04.28'!$1:$1</definedName>
    <definedName name="Z_63A8D7FC_210D_4D74_8AB0_DBA9D993D16B_.wvu.PrintTitles" localSheetId="4" hidden="1">'04.29-05.05'!$1:$1</definedName>
    <definedName name="Z_63A8D7FC_210D_4D74_8AB0_DBA9D993D16B_.wvu.PrintTitles" localSheetId="5" hidden="1">'05.06-05.12'!$1:$1</definedName>
    <definedName name="Z_63A8D7FC_210D_4D74_8AB0_DBA9D993D16B_.wvu.PrintTitles" localSheetId="6" hidden="1">'05.13-05.19'!$1:$1</definedName>
    <definedName name="Z_63A8D7FC_210D_4D74_8AB0_DBA9D993D16B_.wvu.PrintTitles" localSheetId="7" hidden="1">'05.20-05.26'!$1:$1</definedName>
    <definedName name="Z_63A8D7FC_210D_4D74_8AB0_DBA9D993D16B_.wvu.PrintTitles" localSheetId="8" hidden="1">'05.27-06.02'!$1:$1</definedName>
    <definedName name="Z_63A8D7FC_210D_4D74_8AB0_DBA9D993D16B_.wvu.PrintTitles" localSheetId="9" hidden="1">'06.03-06.09'!$1:$1</definedName>
    <definedName name="Z_63A8D7FC_210D_4D74_8AB0_DBA9D993D16B_.wvu.PrintTitles" localSheetId="10" hidden="1">'06.10-06.16'!$1:$1</definedName>
    <definedName name="Z_63A8D7FC_210D_4D74_8AB0_DBA9D993D16B_.wvu.PrintTitles" localSheetId="11" hidden="1">'06.17-06.23'!$1:$1</definedName>
    <definedName name="Z_63A8D7FC_210D_4D74_8AB0_DBA9D993D16B_.wvu.PrintTitles" localSheetId="12" hidden="1">'06.24-06.30'!$1:$1</definedName>
    <definedName name="Z_63A8D7FC_210D_4D74_8AB0_DBA9D993D16B_.wvu.PrintTitles" localSheetId="13" hidden="1">'07.01-07.07'!$1:$1</definedName>
    <definedName name="Z_63A8D7FC_210D_4D74_8AB0_DBA9D993D16B_.wvu.PrintTitles" localSheetId="14" hidden="1">'07.08-07.14'!$1:$1</definedName>
    <definedName name="Z_63A8D7FC_210D_4D74_8AB0_DBA9D993D16B_.wvu.PrintTitles" localSheetId="15" hidden="1">'07.15-07.21'!$1:$1</definedName>
    <definedName name="Z_63A8D7FC_210D_4D74_8AB0_DBA9D993D16B_.wvu.PrintTitles" localSheetId="16" hidden="1">'07.22-07.28'!$1:$1</definedName>
    <definedName name="Z_63A8D7FC_210D_4D74_8AB0_DBA9D993D16B_.wvu.PrintTitles" localSheetId="17" hidden="1">'07.29-08.04'!$1:$1</definedName>
    <definedName name="Z_63A8D7FC_210D_4D74_8AB0_DBA9D993D16B_.wvu.PrintTitles" localSheetId="18" hidden="1">'08.05-08.11'!$1:$1</definedName>
    <definedName name="Z_63A8D7FC_210D_4D74_8AB0_DBA9D993D16B_.wvu.PrintTitles" localSheetId="19" hidden="1">'08.12-08.18'!$1:$1</definedName>
    <definedName name="Z_63A8D7FC_210D_4D74_8AB0_DBA9D993D16B_.wvu.PrintTitles" localSheetId="20" hidden="1">'08.19-08.25'!$1:$1</definedName>
    <definedName name="Z_63A8D7FC_210D_4D74_8AB0_DBA9D993D16B_.wvu.PrintTitles" localSheetId="21" hidden="1">'08.26-09.01'!$1:$1</definedName>
    <definedName name="Z_63A8D7FC_210D_4D74_8AB0_DBA9D993D16B_.wvu.PrintTitles" localSheetId="22" hidden="1">'09.02-09.08'!$1:$1</definedName>
    <definedName name="Z_63A8D7FC_210D_4D74_8AB0_DBA9D993D16B_.wvu.PrintTitles" localSheetId="23" hidden="1">'09.09-09.15'!$1:$1</definedName>
    <definedName name="Z_63A8D7FC_210D_4D74_8AB0_DBA9D993D16B_.wvu.PrintTitles" localSheetId="24" hidden="1">'09.16-09.22'!$1:$1</definedName>
    <definedName name="Z_63A8D7FC_210D_4D74_8AB0_DBA9D993D16B_.wvu.PrintTitles" localSheetId="25" hidden="1">'09.23-09.29'!$1:$1</definedName>
    <definedName name="Z_63A8D7FC_210D_4D74_8AB0_DBA9D993D16B_.wvu.PrintTitles" localSheetId="26" hidden="1">'09.30-10.06'!$1:$1</definedName>
    <definedName name="Z_63A8D7FC_210D_4D74_8AB0_DBA9D993D16B_.wvu.PrintTitles" localSheetId="27" hidden="1">'10.07-10.13'!$1:$1</definedName>
    <definedName name="Z_63A8D7FC_210D_4D74_8AB0_DBA9D993D16B_.wvu.PrintTitles" localSheetId="28" hidden="1">'10.14-10.20'!$1:$1</definedName>
    <definedName name="Z_63A8D7FC_210D_4D74_8AB0_DBA9D993D16B_.wvu.PrintTitles" localSheetId="29" hidden="1">'10.21-10.27'!$1:$1</definedName>
    <definedName name="Z_63A8D7FC_210D_4D74_8AB0_DBA9D993D16B_.wvu.PrintTitles" localSheetId="30" hidden="1">'10.28-11.03'!$1:$1</definedName>
    <definedName name="Z_63A8D7FC_210D_4D74_8AB0_DBA9D993D16B_.wvu.PrintTitles" localSheetId="31" hidden="1">'11.04-11.10'!$1:$1</definedName>
    <definedName name="Z_63A8D7FC_210D_4D74_8AB0_DBA9D993D16B_.wvu.PrintTitles" localSheetId="32" hidden="1">'11.11-11.17'!$1:$1</definedName>
    <definedName name="Z_63A8D7FC_210D_4D74_8AB0_DBA9D993D16B_.wvu.PrintTitles" localSheetId="33" hidden="1">'11.18-11.24'!$1:$1</definedName>
    <definedName name="Z_63A8D7FC_210D_4D74_8AB0_DBA9D993D16B_.wvu.PrintTitles" localSheetId="34" hidden="1">'11.25-12.01'!$1:$1</definedName>
    <definedName name="Z_63A8D7FC_210D_4D74_8AB0_DBA9D993D16B_.wvu.PrintTitles" localSheetId="35" hidden="1">'12.02-12.08'!$1:$1</definedName>
    <definedName name="Z_63A8D7FC_210D_4D74_8AB0_DBA9D993D16B_.wvu.PrintTitles" localSheetId="36" hidden="1">'12.09-12.15'!$1:$1</definedName>
    <definedName name="Z_63A8D7FC_210D_4D74_8AB0_DBA9D993D16B_.wvu.PrintTitles" localSheetId="37" hidden="1">'12.16-12.22'!$1:$1</definedName>
    <definedName name="Z_63A8D7FC_210D_4D74_8AB0_DBA9D993D16B_.wvu.PrintTitles" localSheetId="38" hidden="1">'12.23-12.29'!$1:$1</definedName>
    <definedName name="Z_63A8D7FC_210D_4D74_8AB0_DBA9D993D16B_.wvu.Rows" localSheetId="6" hidden="1">'05.13-05.19'!$23:$28</definedName>
    <definedName name="Z_63A8D7FC_210D_4D74_8AB0_DBA9D993D16B_.wvu.Rows" localSheetId="7" hidden="1">'05.20-05.26'!$26:$32</definedName>
    <definedName name="Z_70878244_3585_447C_8730_0EB8549AE1A6_.wvu.PrintArea" localSheetId="0" hidden="1">'04.01-04.07'!$A$1:$H$60</definedName>
    <definedName name="Z_70878244_3585_447C_8730_0EB8549AE1A6_.wvu.PrintArea" localSheetId="2" hidden="1">'04.15-04.21'!$A$1:$H$55</definedName>
    <definedName name="Z_70878244_3585_447C_8730_0EB8549AE1A6_.wvu.PrintArea" localSheetId="3" hidden="1">'04.22-04.28'!$A$1:$H$53</definedName>
    <definedName name="Z_70878244_3585_447C_8730_0EB8549AE1A6_.wvu.PrintArea" localSheetId="4" hidden="1">'04.29-05.05'!$A$1:$H$54</definedName>
    <definedName name="Z_70878244_3585_447C_8730_0EB8549AE1A6_.wvu.PrintArea" localSheetId="5" hidden="1">'05.06-05.12'!$A$1:$H$53</definedName>
    <definedName name="Z_70878244_3585_447C_8730_0EB8549AE1A6_.wvu.PrintArea" localSheetId="6" hidden="1">'05.13-05.19'!$A$1:$H$55</definedName>
    <definedName name="Z_70878244_3585_447C_8730_0EB8549AE1A6_.wvu.PrintArea" localSheetId="7" hidden="1">'05.20-05.26'!$A$1:$H$55</definedName>
    <definedName name="Z_70878244_3585_447C_8730_0EB8549AE1A6_.wvu.PrintArea" localSheetId="8" hidden="1">'05.27-06.02'!$A$1:$H$45</definedName>
    <definedName name="Z_70878244_3585_447C_8730_0EB8549AE1A6_.wvu.PrintArea" localSheetId="9" hidden="1">'06.03-06.09'!$A$1:$H$48</definedName>
    <definedName name="Z_70878244_3585_447C_8730_0EB8549AE1A6_.wvu.PrintArea" localSheetId="10" hidden="1">'06.10-06.16'!$A$1:$H$48</definedName>
    <definedName name="Z_70878244_3585_447C_8730_0EB8549AE1A6_.wvu.PrintArea" localSheetId="11" hidden="1">'06.17-06.23'!$A$1:$H$53</definedName>
    <definedName name="Z_70878244_3585_447C_8730_0EB8549AE1A6_.wvu.PrintArea" localSheetId="12" hidden="1">'06.24-06.30'!$A$1:$H$54</definedName>
    <definedName name="Z_70878244_3585_447C_8730_0EB8549AE1A6_.wvu.PrintArea" localSheetId="13" hidden="1">'07.01-07.07'!$A$1:$H$53</definedName>
    <definedName name="Z_70878244_3585_447C_8730_0EB8549AE1A6_.wvu.PrintArea" localSheetId="14" hidden="1">'07.08-07.14'!$A$1:$H$52</definedName>
    <definedName name="Z_70878244_3585_447C_8730_0EB8549AE1A6_.wvu.PrintArea" localSheetId="15" hidden="1">'07.15-07.21'!$A$1:$H$55</definedName>
    <definedName name="Z_70878244_3585_447C_8730_0EB8549AE1A6_.wvu.PrintArea" localSheetId="16" hidden="1">'07.22-07.28'!$A$1:$H$54</definedName>
    <definedName name="Z_70878244_3585_447C_8730_0EB8549AE1A6_.wvu.PrintArea" localSheetId="17" hidden="1">'07.29-08.04'!$A$1:$H$54</definedName>
    <definedName name="Z_70878244_3585_447C_8730_0EB8549AE1A6_.wvu.PrintArea" localSheetId="18" hidden="1">'08.05-08.11'!$A$1:$H$52</definedName>
    <definedName name="Z_70878244_3585_447C_8730_0EB8549AE1A6_.wvu.PrintArea" localSheetId="19" hidden="1">'08.12-08.18'!$A$1:$H$54</definedName>
    <definedName name="Z_70878244_3585_447C_8730_0EB8549AE1A6_.wvu.PrintArea" localSheetId="20" hidden="1">'08.19-08.25'!$A$1:$H$54</definedName>
    <definedName name="Z_70878244_3585_447C_8730_0EB8549AE1A6_.wvu.PrintArea" localSheetId="21" hidden="1">'08.26-09.01'!$A$1:$H$47</definedName>
    <definedName name="Z_70878244_3585_447C_8730_0EB8549AE1A6_.wvu.PrintArea" localSheetId="22" hidden="1">'09.02-09.08'!$A$1:$H$54</definedName>
    <definedName name="Z_70878244_3585_447C_8730_0EB8549AE1A6_.wvu.PrintArea" localSheetId="23" hidden="1">'09.09-09.15'!$A$1:$H$54</definedName>
    <definedName name="Z_70878244_3585_447C_8730_0EB8549AE1A6_.wvu.PrintArea" localSheetId="24" hidden="1">'09.16-09.22'!$A$1:$H$54</definedName>
    <definedName name="Z_70878244_3585_447C_8730_0EB8549AE1A6_.wvu.PrintArea" localSheetId="25" hidden="1">'09.23-09.29'!$A$1:$H$54</definedName>
    <definedName name="Z_70878244_3585_447C_8730_0EB8549AE1A6_.wvu.PrintArea" localSheetId="26" hidden="1">'09.30-10.06'!$A$1:$H$54</definedName>
    <definedName name="Z_70878244_3585_447C_8730_0EB8549AE1A6_.wvu.PrintArea" localSheetId="27" hidden="1">'10.07-10.13'!$A$1:$H$54</definedName>
    <definedName name="Z_70878244_3585_447C_8730_0EB8549AE1A6_.wvu.PrintArea" localSheetId="28" hidden="1">'10.14-10.20'!$A$1:$H$54</definedName>
    <definedName name="Z_70878244_3585_447C_8730_0EB8549AE1A6_.wvu.PrintArea" localSheetId="29" hidden="1">'10.21-10.27'!$A$1:$H$54</definedName>
    <definedName name="Z_70878244_3585_447C_8730_0EB8549AE1A6_.wvu.PrintArea" localSheetId="30" hidden="1">'10.28-11.03'!$A$1:$H$54</definedName>
    <definedName name="Z_70878244_3585_447C_8730_0EB8549AE1A6_.wvu.PrintArea" localSheetId="31" hidden="1">'11.04-11.10'!$A$1:$H$54</definedName>
    <definedName name="Z_70878244_3585_447C_8730_0EB8549AE1A6_.wvu.PrintArea" localSheetId="32" hidden="1">'11.11-11.17'!$A$1:$H$54</definedName>
    <definedName name="Z_70878244_3585_447C_8730_0EB8549AE1A6_.wvu.PrintArea" localSheetId="33" hidden="1">'11.18-11.24'!$A$1:$H$54</definedName>
    <definedName name="Z_70878244_3585_447C_8730_0EB8549AE1A6_.wvu.PrintArea" localSheetId="34" hidden="1">'11.25-12.01'!$A$1:$H$54</definedName>
    <definedName name="Z_70878244_3585_447C_8730_0EB8549AE1A6_.wvu.PrintArea" localSheetId="35" hidden="1">'12.02-12.08'!$A$1:$H$54</definedName>
    <definedName name="Z_70878244_3585_447C_8730_0EB8549AE1A6_.wvu.PrintArea" localSheetId="36" hidden="1">'12.09-12.15'!$A$1:$H$54</definedName>
    <definedName name="Z_70878244_3585_447C_8730_0EB8549AE1A6_.wvu.PrintArea" localSheetId="37" hidden="1">'12.16-12.22'!$A$1:$H$54</definedName>
    <definedName name="Z_70878244_3585_447C_8730_0EB8549AE1A6_.wvu.PrintArea" localSheetId="38" hidden="1">'12.23-12.29'!$A$1:$H$54</definedName>
    <definedName name="Z_70878244_3585_447C_8730_0EB8549AE1A6_.wvu.PrintTitles" localSheetId="0" hidden="1">'04.01-04.07'!$1:$1</definedName>
    <definedName name="Z_70878244_3585_447C_8730_0EB8549AE1A6_.wvu.PrintTitles" localSheetId="2" hidden="1">'04.15-04.21'!$1:$1</definedName>
    <definedName name="Z_70878244_3585_447C_8730_0EB8549AE1A6_.wvu.PrintTitles" localSheetId="3" hidden="1">'04.22-04.28'!$1:$1</definedName>
    <definedName name="Z_70878244_3585_447C_8730_0EB8549AE1A6_.wvu.PrintTitles" localSheetId="4" hidden="1">'04.29-05.05'!$1:$1</definedName>
    <definedName name="Z_70878244_3585_447C_8730_0EB8549AE1A6_.wvu.PrintTitles" localSheetId="5" hidden="1">'05.06-05.12'!$1:$1</definedName>
    <definedName name="Z_70878244_3585_447C_8730_0EB8549AE1A6_.wvu.PrintTitles" localSheetId="6" hidden="1">'05.13-05.19'!$1:$1</definedName>
    <definedName name="Z_70878244_3585_447C_8730_0EB8549AE1A6_.wvu.PrintTitles" localSheetId="7" hidden="1">'05.20-05.26'!$1:$1</definedName>
    <definedName name="Z_70878244_3585_447C_8730_0EB8549AE1A6_.wvu.PrintTitles" localSheetId="8" hidden="1">'05.27-06.02'!$1:$1</definedName>
    <definedName name="Z_70878244_3585_447C_8730_0EB8549AE1A6_.wvu.PrintTitles" localSheetId="9" hidden="1">'06.03-06.09'!$1:$1</definedName>
    <definedName name="Z_70878244_3585_447C_8730_0EB8549AE1A6_.wvu.PrintTitles" localSheetId="10" hidden="1">'06.10-06.16'!$1:$1</definedName>
    <definedName name="Z_70878244_3585_447C_8730_0EB8549AE1A6_.wvu.PrintTitles" localSheetId="11" hidden="1">'06.17-06.23'!$1:$1</definedName>
    <definedName name="Z_70878244_3585_447C_8730_0EB8549AE1A6_.wvu.PrintTitles" localSheetId="12" hidden="1">'06.24-06.30'!$1:$1</definedName>
    <definedName name="Z_70878244_3585_447C_8730_0EB8549AE1A6_.wvu.PrintTitles" localSheetId="13" hidden="1">'07.01-07.07'!$1:$1</definedName>
    <definedName name="Z_70878244_3585_447C_8730_0EB8549AE1A6_.wvu.PrintTitles" localSheetId="14" hidden="1">'07.08-07.14'!$1:$1</definedName>
    <definedName name="Z_70878244_3585_447C_8730_0EB8549AE1A6_.wvu.PrintTitles" localSheetId="15" hidden="1">'07.15-07.21'!$1:$1</definedName>
    <definedName name="Z_70878244_3585_447C_8730_0EB8549AE1A6_.wvu.PrintTitles" localSheetId="16" hidden="1">'07.22-07.28'!$1:$1</definedName>
    <definedName name="Z_70878244_3585_447C_8730_0EB8549AE1A6_.wvu.PrintTitles" localSheetId="17" hidden="1">'07.29-08.04'!$1:$1</definedName>
    <definedName name="Z_70878244_3585_447C_8730_0EB8549AE1A6_.wvu.PrintTitles" localSheetId="18" hidden="1">'08.05-08.11'!$1:$1</definedName>
    <definedName name="Z_70878244_3585_447C_8730_0EB8549AE1A6_.wvu.PrintTitles" localSheetId="19" hidden="1">'08.12-08.18'!$1:$1</definedName>
    <definedName name="Z_70878244_3585_447C_8730_0EB8549AE1A6_.wvu.PrintTitles" localSheetId="20" hidden="1">'08.19-08.25'!$1:$1</definedName>
    <definedName name="Z_70878244_3585_447C_8730_0EB8549AE1A6_.wvu.PrintTitles" localSheetId="21" hidden="1">'08.26-09.01'!$1:$1</definedName>
    <definedName name="Z_70878244_3585_447C_8730_0EB8549AE1A6_.wvu.PrintTitles" localSheetId="22" hidden="1">'09.02-09.08'!$1:$1</definedName>
    <definedName name="Z_70878244_3585_447C_8730_0EB8549AE1A6_.wvu.PrintTitles" localSheetId="23" hidden="1">'09.09-09.15'!$1:$1</definedName>
    <definedName name="Z_70878244_3585_447C_8730_0EB8549AE1A6_.wvu.PrintTitles" localSheetId="24" hidden="1">'09.16-09.22'!$1:$1</definedName>
    <definedName name="Z_70878244_3585_447C_8730_0EB8549AE1A6_.wvu.PrintTitles" localSheetId="25" hidden="1">'09.23-09.29'!$1:$1</definedName>
    <definedName name="Z_70878244_3585_447C_8730_0EB8549AE1A6_.wvu.PrintTitles" localSheetId="26" hidden="1">'09.30-10.06'!$1:$1</definedName>
    <definedName name="Z_70878244_3585_447C_8730_0EB8549AE1A6_.wvu.PrintTitles" localSheetId="27" hidden="1">'10.07-10.13'!$1:$1</definedName>
    <definedName name="Z_70878244_3585_447C_8730_0EB8549AE1A6_.wvu.PrintTitles" localSheetId="28" hidden="1">'10.14-10.20'!$1:$1</definedName>
    <definedName name="Z_70878244_3585_447C_8730_0EB8549AE1A6_.wvu.PrintTitles" localSheetId="29" hidden="1">'10.21-10.27'!$1:$1</definedName>
    <definedName name="Z_70878244_3585_447C_8730_0EB8549AE1A6_.wvu.PrintTitles" localSheetId="30" hidden="1">'10.28-11.03'!$1:$1</definedName>
    <definedName name="Z_70878244_3585_447C_8730_0EB8549AE1A6_.wvu.PrintTitles" localSheetId="31" hidden="1">'11.04-11.10'!$1:$1</definedName>
    <definedName name="Z_70878244_3585_447C_8730_0EB8549AE1A6_.wvu.PrintTitles" localSheetId="32" hidden="1">'11.11-11.17'!$1:$1</definedName>
    <definedName name="Z_70878244_3585_447C_8730_0EB8549AE1A6_.wvu.PrintTitles" localSheetId="33" hidden="1">'11.18-11.24'!$1:$1</definedName>
    <definedName name="Z_70878244_3585_447C_8730_0EB8549AE1A6_.wvu.PrintTitles" localSheetId="34" hidden="1">'11.25-12.01'!$1:$1</definedName>
    <definedName name="Z_70878244_3585_447C_8730_0EB8549AE1A6_.wvu.PrintTitles" localSheetId="35" hidden="1">'12.02-12.08'!$1:$1</definedName>
    <definedName name="Z_70878244_3585_447C_8730_0EB8549AE1A6_.wvu.PrintTitles" localSheetId="36" hidden="1">'12.09-12.15'!$1:$1</definedName>
    <definedName name="Z_70878244_3585_447C_8730_0EB8549AE1A6_.wvu.PrintTitles" localSheetId="37" hidden="1">'12.16-12.22'!$1:$1</definedName>
    <definedName name="Z_70878244_3585_447C_8730_0EB8549AE1A6_.wvu.PrintTitles" localSheetId="38" hidden="1">'12.23-12.29'!$1:$1</definedName>
    <definedName name="Z_A47E18E7_D250_4913_909E_65F626A4EC80_.wvu.PrintArea" localSheetId="0" hidden="1">'04.01-04.07'!$A$1:$H$60</definedName>
    <definedName name="Z_A47E18E7_D250_4913_909E_65F626A4EC80_.wvu.PrintArea" localSheetId="2" hidden="1">'04.15-04.21'!$A$1:$H$55</definedName>
    <definedName name="Z_A47E18E7_D250_4913_909E_65F626A4EC80_.wvu.PrintArea" localSheetId="3" hidden="1">'04.22-04.28'!$A$1:$H$53</definedName>
    <definedName name="Z_A47E18E7_D250_4913_909E_65F626A4EC80_.wvu.PrintArea" localSheetId="4" hidden="1">'04.29-05.05'!$A$1:$H$54</definedName>
    <definedName name="Z_A47E18E7_D250_4913_909E_65F626A4EC80_.wvu.PrintArea" localSheetId="5" hidden="1">'05.06-05.12'!$A$1:$H$53</definedName>
    <definedName name="Z_A47E18E7_D250_4913_909E_65F626A4EC80_.wvu.PrintArea" localSheetId="6" hidden="1">'05.13-05.19'!$A$1:$H$55</definedName>
    <definedName name="Z_A47E18E7_D250_4913_909E_65F626A4EC80_.wvu.PrintArea" localSheetId="7" hidden="1">'05.20-05.26'!$A$1:$H$55</definedName>
    <definedName name="Z_A47E18E7_D250_4913_909E_65F626A4EC80_.wvu.PrintArea" localSheetId="8" hidden="1">'05.27-06.02'!$A$1:$H$45</definedName>
    <definedName name="Z_A47E18E7_D250_4913_909E_65F626A4EC80_.wvu.PrintArea" localSheetId="9" hidden="1">'06.03-06.09'!$A$1:$H$48</definedName>
    <definedName name="Z_A47E18E7_D250_4913_909E_65F626A4EC80_.wvu.PrintArea" localSheetId="10" hidden="1">'06.10-06.16'!$A$1:$H$48</definedName>
    <definedName name="Z_A47E18E7_D250_4913_909E_65F626A4EC80_.wvu.PrintArea" localSheetId="11" hidden="1">'06.17-06.23'!$A$1:$H$53</definedName>
    <definedName name="Z_A47E18E7_D250_4913_909E_65F626A4EC80_.wvu.PrintArea" localSheetId="12" hidden="1">'06.24-06.30'!$A$1:$H$54</definedName>
    <definedName name="Z_A47E18E7_D250_4913_909E_65F626A4EC80_.wvu.PrintArea" localSheetId="13" hidden="1">'07.01-07.07'!$A$1:$H$53</definedName>
    <definedName name="Z_A47E18E7_D250_4913_909E_65F626A4EC80_.wvu.PrintArea" localSheetId="14" hidden="1">'07.08-07.14'!$A$1:$H$52</definedName>
    <definedName name="Z_A47E18E7_D250_4913_909E_65F626A4EC80_.wvu.PrintArea" localSheetId="15" hidden="1">'07.15-07.21'!$A$1:$H$55</definedName>
    <definedName name="Z_A47E18E7_D250_4913_909E_65F626A4EC80_.wvu.PrintArea" localSheetId="16" hidden="1">'07.22-07.28'!$A$1:$H$54</definedName>
    <definedName name="Z_A47E18E7_D250_4913_909E_65F626A4EC80_.wvu.PrintArea" localSheetId="17" hidden="1">'07.29-08.04'!$A$1:$H$54</definedName>
    <definedName name="Z_A47E18E7_D250_4913_909E_65F626A4EC80_.wvu.PrintArea" localSheetId="18" hidden="1">'08.05-08.11'!$A$1:$H$52</definedName>
    <definedName name="Z_A47E18E7_D250_4913_909E_65F626A4EC80_.wvu.PrintArea" localSheetId="19" hidden="1">'08.12-08.18'!$A$1:$H$54</definedName>
    <definedName name="Z_A47E18E7_D250_4913_909E_65F626A4EC80_.wvu.PrintArea" localSheetId="20" hidden="1">'08.19-08.25'!$A$1:$H$54</definedName>
    <definedName name="Z_A47E18E7_D250_4913_909E_65F626A4EC80_.wvu.PrintArea" localSheetId="21" hidden="1">'08.26-09.01'!$A$1:$H$47</definedName>
    <definedName name="Z_A47E18E7_D250_4913_909E_65F626A4EC80_.wvu.PrintArea" localSheetId="22" hidden="1">'09.02-09.08'!$A$1:$H$54</definedName>
    <definedName name="Z_A47E18E7_D250_4913_909E_65F626A4EC80_.wvu.PrintArea" localSheetId="23" hidden="1">'09.09-09.15'!$A$1:$H$54</definedName>
    <definedName name="Z_A47E18E7_D250_4913_909E_65F626A4EC80_.wvu.PrintArea" localSheetId="24" hidden="1">'09.16-09.22'!$A$1:$H$54</definedName>
    <definedName name="Z_A47E18E7_D250_4913_909E_65F626A4EC80_.wvu.PrintArea" localSheetId="25" hidden="1">'09.23-09.29'!$A$1:$H$54</definedName>
    <definedName name="Z_A47E18E7_D250_4913_909E_65F626A4EC80_.wvu.PrintArea" localSheetId="26" hidden="1">'09.30-10.06'!$A$1:$H$54</definedName>
    <definedName name="Z_A47E18E7_D250_4913_909E_65F626A4EC80_.wvu.PrintArea" localSheetId="27" hidden="1">'10.07-10.13'!$A$1:$H$54</definedName>
    <definedName name="Z_A47E18E7_D250_4913_909E_65F626A4EC80_.wvu.PrintArea" localSheetId="28" hidden="1">'10.14-10.20'!$A$1:$H$54</definedName>
    <definedName name="Z_A47E18E7_D250_4913_909E_65F626A4EC80_.wvu.PrintArea" localSheetId="29" hidden="1">'10.21-10.27'!$A$1:$H$54</definedName>
    <definedName name="Z_A47E18E7_D250_4913_909E_65F626A4EC80_.wvu.PrintArea" localSheetId="30" hidden="1">'10.28-11.03'!$A$1:$H$54</definedName>
    <definedName name="Z_A47E18E7_D250_4913_909E_65F626A4EC80_.wvu.PrintArea" localSheetId="31" hidden="1">'11.04-11.10'!$A$1:$H$54</definedName>
    <definedName name="Z_A47E18E7_D250_4913_909E_65F626A4EC80_.wvu.PrintArea" localSheetId="32" hidden="1">'11.11-11.17'!$A$1:$H$54</definedName>
    <definedName name="Z_A47E18E7_D250_4913_909E_65F626A4EC80_.wvu.PrintArea" localSheetId="33" hidden="1">'11.18-11.24'!$A$1:$H$54</definedName>
    <definedName name="Z_A47E18E7_D250_4913_909E_65F626A4EC80_.wvu.PrintArea" localSheetId="34" hidden="1">'11.25-12.01'!$A$1:$H$54</definedName>
    <definedName name="Z_A47E18E7_D250_4913_909E_65F626A4EC80_.wvu.PrintArea" localSheetId="35" hidden="1">'12.02-12.08'!$A$1:$H$54</definedName>
    <definedName name="Z_A47E18E7_D250_4913_909E_65F626A4EC80_.wvu.PrintArea" localSheetId="36" hidden="1">'12.09-12.15'!$A$1:$H$54</definedName>
    <definedName name="Z_A47E18E7_D250_4913_909E_65F626A4EC80_.wvu.PrintArea" localSheetId="37" hidden="1">'12.16-12.22'!$A$1:$H$54</definedName>
    <definedName name="Z_A47E18E7_D250_4913_909E_65F626A4EC80_.wvu.PrintArea" localSheetId="38" hidden="1">'12.23-12.29'!$A$1:$H$54</definedName>
    <definedName name="Z_A47E18E7_D250_4913_909E_65F626A4EC80_.wvu.PrintTitles" localSheetId="0" hidden="1">'04.01-04.07'!$1:$1</definedName>
    <definedName name="Z_A47E18E7_D250_4913_909E_65F626A4EC80_.wvu.PrintTitles" localSheetId="2" hidden="1">'04.15-04.21'!$1:$1</definedName>
    <definedName name="Z_A47E18E7_D250_4913_909E_65F626A4EC80_.wvu.PrintTitles" localSheetId="3" hidden="1">'04.22-04.28'!$1:$1</definedName>
    <definedName name="Z_A47E18E7_D250_4913_909E_65F626A4EC80_.wvu.PrintTitles" localSheetId="4" hidden="1">'04.29-05.05'!$1:$1</definedName>
    <definedName name="Z_A47E18E7_D250_4913_909E_65F626A4EC80_.wvu.PrintTitles" localSheetId="5" hidden="1">'05.06-05.12'!$1:$1</definedName>
    <definedName name="Z_A47E18E7_D250_4913_909E_65F626A4EC80_.wvu.PrintTitles" localSheetId="6" hidden="1">'05.13-05.19'!$1:$1</definedName>
    <definedName name="Z_A47E18E7_D250_4913_909E_65F626A4EC80_.wvu.PrintTitles" localSheetId="7" hidden="1">'05.20-05.26'!$1:$1</definedName>
    <definedName name="Z_A47E18E7_D250_4913_909E_65F626A4EC80_.wvu.PrintTitles" localSheetId="8" hidden="1">'05.27-06.02'!$1:$1</definedName>
    <definedName name="Z_A47E18E7_D250_4913_909E_65F626A4EC80_.wvu.PrintTitles" localSheetId="9" hidden="1">'06.03-06.09'!$1:$1</definedName>
    <definedName name="Z_A47E18E7_D250_4913_909E_65F626A4EC80_.wvu.PrintTitles" localSheetId="10" hidden="1">'06.10-06.16'!$1:$1</definedName>
    <definedName name="Z_A47E18E7_D250_4913_909E_65F626A4EC80_.wvu.PrintTitles" localSheetId="11" hidden="1">'06.17-06.23'!$1:$1</definedName>
    <definedName name="Z_A47E18E7_D250_4913_909E_65F626A4EC80_.wvu.PrintTitles" localSheetId="12" hidden="1">'06.24-06.30'!$1:$1</definedName>
    <definedName name="Z_A47E18E7_D250_4913_909E_65F626A4EC80_.wvu.PrintTitles" localSheetId="13" hidden="1">'07.01-07.07'!$1:$1</definedName>
    <definedName name="Z_A47E18E7_D250_4913_909E_65F626A4EC80_.wvu.PrintTitles" localSheetId="14" hidden="1">'07.08-07.14'!$1:$1</definedName>
    <definedName name="Z_A47E18E7_D250_4913_909E_65F626A4EC80_.wvu.PrintTitles" localSheetId="15" hidden="1">'07.15-07.21'!$1:$1</definedName>
    <definedName name="Z_A47E18E7_D250_4913_909E_65F626A4EC80_.wvu.PrintTitles" localSheetId="16" hidden="1">'07.22-07.28'!$1:$1</definedName>
    <definedName name="Z_A47E18E7_D250_4913_909E_65F626A4EC80_.wvu.PrintTitles" localSheetId="17" hidden="1">'07.29-08.04'!$1:$1</definedName>
    <definedName name="Z_A47E18E7_D250_4913_909E_65F626A4EC80_.wvu.PrintTitles" localSheetId="18" hidden="1">'08.05-08.11'!$1:$1</definedName>
    <definedName name="Z_A47E18E7_D250_4913_909E_65F626A4EC80_.wvu.PrintTitles" localSheetId="19" hidden="1">'08.12-08.18'!$1:$1</definedName>
    <definedName name="Z_A47E18E7_D250_4913_909E_65F626A4EC80_.wvu.PrintTitles" localSheetId="20" hidden="1">'08.19-08.25'!$1:$1</definedName>
    <definedName name="Z_A47E18E7_D250_4913_909E_65F626A4EC80_.wvu.PrintTitles" localSheetId="21" hidden="1">'08.26-09.01'!$1:$1</definedName>
    <definedName name="Z_A47E18E7_D250_4913_909E_65F626A4EC80_.wvu.PrintTitles" localSheetId="22" hidden="1">'09.02-09.08'!$1:$1</definedName>
    <definedName name="Z_A47E18E7_D250_4913_909E_65F626A4EC80_.wvu.PrintTitles" localSheetId="23" hidden="1">'09.09-09.15'!$1:$1</definedName>
    <definedName name="Z_A47E18E7_D250_4913_909E_65F626A4EC80_.wvu.PrintTitles" localSheetId="24" hidden="1">'09.16-09.22'!$1:$1</definedName>
    <definedName name="Z_A47E18E7_D250_4913_909E_65F626A4EC80_.wvu.PrintTitles" localSheetId="25" hidden="1">'09.23-09.29'!$1:$1</definedName>
    <definedName name="Z_A47E18E7_D250_4913_909E_65F626A4EC80_.wvu.PrintTitles" localSheetId="26" hidden="1">'09.30-10.06'!$1:$1</definedName>
    <definedName name="Z_A47E18E7_D250_4913_909E_65F626A4EC80_.wvu.PrintTitles" localSheetId="27" hidden="1">'10.07-10.13'!$1:$1</definedName>
    <definedName name="Z_A47E18E7_D250_4913_909E_65F626A4EC80_.wvu.PrintTitles" localSheetId="28" hidden="1">'10.14-10.20'!$1:$1</definedName>
    <definedName name="Z_A47E18E7_D250_4913_909E_65F626A4EC80_.wvu.PrintTitles" localSheetId="29" hidden="1">'10.21-10.27'!$1:$1</definedName>
    <definedName name="Z_A47E18E7_D250_4913_909E_65F626A4EC80_.wvu.PrintTitles" localSheetId="30" hidden="1">'10.28-11.03'!$1:$1</definedName>
    <definedName name="Z_A47E18E7_D250_4913_909E_65F626A4EC80_.wvu.PrintTitles" localSheetId="31" hidden="1">'11.04-11.10'!$1:$1</definedName>
    <definedName name="Z_A47E18E7_D250_4913_909E_65F626A4EC80_.wvu.PrintTitles" localSheetId="32" hidden="1">'11.11-11.17'!$1:$1</definedName>
    <definedName name="Z_A47E18E7_D250_4913_909E_65F626A4EC80_.wvu.PrintTitles" localSheetId="33" hidden="1">'11.18-11.24'!$1:$1</definedName>
    <definedName name="Z_A47E18E7_D250_4913_909E_65F626A4EC80_.wvu.PrintTitles" localSheetId="34" hidden="1">'11.25-12.01'!$1:$1</definedName>
    <definedName name="Z_A47E18E7_D250_4913_909E_65F626A4EC80_.wvu.PrintTitles" localSheetId="35" hidden="1">'12.02-12.08'!$1:$1</definedName>
    <definedName name="Z_A47E18E7_D250_4913_909E_65F626A4EC80_.wvu.PrintTitles" localSheetId="36" hidden="1">'12.09-12.15'!$1:$1</definedName>
    <definedName name="Z_A47E18E7_D250_4913_909E_65F626A4EC80_.wvu.PrintTitles" localSheetId="37" hidden="1">'12.16-12.22'!$1:$1</definedName>
    <definedName name="Z_A47E18E7_D250_4913_909E_65F626A4EC80_.wvu.PrintTitles" localSheetId="38" hidden="1">'12.23-12.29'!$1:$1</definedName>
    <definedName name="Z_A47E18E7_D250_4913_909E_65F626A4EC80_.wvu.Rows" localSheetId="6" hidden="1">'05.13-05.19'!$23:$28</definedName>
    <definedName name="Z_A47E18E7_D250_4913_909E_65F626A4EC80_.wvu.Rows" localSheetId="7" hidden="1">'05.20-05.26'!$26:$32</definedName>
    <definedName name="Z_CD08FFCB_5C1E_4FBC_90EE_0F61C4C5D8EE_.wvu.PrintArea" localSheetId="0" hidden="1">'04.01-04.07'!$A$1:$H$60</definedName>
    <definedName name="Z_CD08FFCB_5C1E_4FBC_90EE_0F61C4C5D8EE_.wvu.PrintArea" localSheetId="2" hidden="1">'04.15-04.21'!$A$1:$H$55</definedName>
    <definedName name="Z_CD08FFCB_5C1E_4FBC_90EE_0F61C4C5D8EE_.wvu.PrintArea" localSheetId="3" hidden="1">'04.22-04.28'!$A$1:$H$53</definedName>
    <definedName name="Z_CD08FFCB_5C1E_4FBC_90EE_0F61C4C5D8EE_.wvu.PrintArea" localSheetId="4" hidden="1">'04.29-05.05'!$A$1:$H$54</definedName>
    <definedName name="Z_CD08FFCB_5C1E_4FBC_90EE_0F61C4C5D8EE_.wvu.PrintArea" localSheetId="5" hidden="1">'05.06-05.12'!$A$1:$H$53</definedName>
    <definedName name="Z_CD08FFCB_5C1E_4FBC_90EE_0F61C4C5D8EE_.wvu.PrintArea" localSheetId="6" hidden="1">'05.13-05.19'!$A$1:$H$55</definedName>
    <definedName name="Z_CD08FFCB_5C1E_4FBC_90EE_0F61C4C5D8EE_.wvu.PrintArea" localSheetId="7" hidden="1">'05.20-05.26'!$A$1:$H$55</definedName>
    <definedName name="Z_CD08FFCB_5C1E_4FBC_90EE_0F61C4C5D8EE_.wvu.PrintArea" localSheetId="8" hidden="1">'05.27-06.02'!$A$1:$H$45</definedName>
    <definedName name="Z_CD08FFCB_5C1E_4FBC_90EE_0F61C4C5D8EE_.wvu.PrintArea" localSheetId="9" hidden="1">'06.03-06.09'!$A$1:$H$48</definedName>
    <definedName name="Z_CD08FFCB_5C1E_4FBC_90EE_0F61C4C5D8EE_.wvu.PrintArea" localSheetId="10" hidden="1">'06.10-06.16'!$A$1:$H$48</definedName>
    <definedName name="Z_CD08FFCB_5C1E_4FBC_90EE_0F61C4C5D8EE_.wvu.PrintArea" localSheetId="11" hidden="1">'06.17-06.23'!$A$1:$H$53</definedName>
    <definedName name="Z_CD08FFCB_5C1E_4FBC_90EE_0F61C4C5D8EE_.wvu.PrintArea" localSheetId="12" hidden="1">'06.24-06.30'!$A$1:$H$54</definedName>
    <definedName name="Z_CD08FFCB_5C1E_4FBC_90EE_0F61C4C5D8EE_.wvu.PrintArea" localSheetId="13" hidden="1">'07.01-07.07'!$A$1:$H$53</definedName>
    <definedName name="Z_CD08FFCB_5C1E_4FBC_90EE_0F61C4C5D8EE_.wvu.PrintArea" localSheetId="14" hidden="1">'07.08-07.14'!$A$1:$H$52</definedName>
    <definedName name="Z_CD08FFCB_5C1E_4FBC_90EE_0F61C4C5D8EE_.wvu.PrintArea" localSheetId="15" hidden="1">'07.15-07.21'!$A$1:$H$55</definedName>
    <definedName name="Z_CD08FFCB_5C1E_4FBC_90EE_0F61C4C5D8EE_.wvu.PrintArea" localSheetId="16" hidden="1">'07.22-07.28'!$A$1:$H$54</definedName>
    <definedName name="Z_CD08FFCB_5C1E_4FBC_90EE_0F61C4C5D8EE_.wvu.PrintArea" localSheetId="17" hidden="1">'07.29-08.04'!$A$1:$H$54</definedName>
    <definedName name="Z_CD08FFCB_5C1E_4FBC_90EE_0F61C4C5D8EE_.wvu.PrintArea" localSheetId="18" hidden="1">'08.05-08.11'!$A$1:$H$52</definedName>
    <definedName name="Z_CD08FFCB_5C1E_4FBC_90EE_0F61C4C5D8EE_.wvu.PrintArea" localSheetId="19" hidden="1">'08.12-08.18'!$A$1:$H$54</definedName>
    <definedName name="Z_CD08FFCB_5C1E_4FBC_90EE_0F61C4C5D8EE_.wvu.PrintArea" localSheetId="20" hidden="1">'08.19-08.25'!$A$1:$H$54</definedName>
    <definedName name="Z_CD08FFCB_5C1E_4FBC_90EE_0F61C4C5D8EE_.wvu.PrintArea" localSheetId="21" hidden="1">'08.26-09.01'!$A$1:$H$47</definedName>
    <definedName name="Z_CD08FFCB_5C1E_4FBC_90EE_0F61C4C5D8EE_.wvu.PrintArea" localSheetId="22" hidden="1">'09.02-09.08'!$A$1:$H$54</definedName>
    <definedName name="Z_CD08FFCB_5C1E_4FBC_90EE_0F61C4C5D8EE_.wvu.PrintArea" localSheetId="23" hidden="1">'09.09-09.15'!$A$1:$H$54</definedName>
    <definedName name="Z_CD08FFCB_5C1E_4FBC_90EE_0F61C4C5D8EE_.wvu.PrintArea" localSheetId="24" hidden="1">'09.16-09.22'!$A$1:$H$54</definedName>
    <definedName name="Z_CD08FFCB_5C1E_4FBC_90EE_0F61C4C5D8EE_.wvu.PrintArea" localSheetId="25" hidden="1">'09.23-09.29'!$A$1:$H$54</definedName>
    <definedName name="Z_CD08FFCB_5C1E_4FBC_90EE_0F61C4C5D8EE_.wvu.PrintArea" localSheetId="26" hidden="1">'09.30-10.06'!$A$1:$H$54</definedName>
    <definedName name="Z_CD08FFCB_5C1E_4FBC_90EE_0F61C4C5D8EE_.wvu.PrintArea" localSheetId="27" hidden="1">'10.07-10.13'!$A$1:$H$54</definedName>
    <definedName name="Z_CD08FFCB_5C1E_4FBC_90EE_0F61C4C5D8EE_.wvu.PrintArea" localSheetId="28" hidden="1">'10.14-10.20'!$A$1:$H$54</definedName>
    <definedName name="Z_CD08FFCB_5C1E_4FBC_90EE_0F61C4C5D8EE_.wvu.PrintArea" localSheetId="29" hidden="1">'10.21-10.27'!$A$1:$H$54</definedName>
    <definedName name="Z_CD08FFCB_5C1E_4FBC_90EE_0F61C4C5D8EE_.wvu.PrintArea" localSheetId="30" hidden="1">'10.28-11.03'!$A$1:$H$54</definedName>
    <definedName name="Z_CD08FFCB_5C1E_4FBC_90EE_0F61C4C5D8EE_.wvu.PrintArea" localSheetId="31" hidden="1">'11.04-11.10'!$A$1:$H$54</definedName>
    <definedName name="Z_CD08FFCB_5C1E_4FBC_90EE_0F61C4C5D8EE_.wvu.PrintArea" localSheetId="32" hidden="1">'11.11-11.17'!$A$1:$H$54</definedName>
    <definedName name="Z_CD08FFCB_5C1E_4FBC_90EE_0F61C4C5D8EE_.wvu.PrintArea" localSheetId="33" hidden="1">'11.18-11.24'!$A$1:$H$54</definedName>
    <definedName name="Z_CD08FFCB_5C1E_4FBC_90EE_0F61C4C5D8EE_.wvu.PrintArea" localSheetId="34" hidden="1">'11.25-12.01'!$A$1:$H$54</definedName>
    <definedName name="Z_CD08FFCB_5C1E_4FBC_90EE_0F61C4C5D8EE_.wvu.PrintArea" localSheetId="35" hidden="1">'12.02-12.08'!$A$1:$H$54</definedName>
    <definedName name="Z_CD08FFCB_5C1E_4FBC_90EE_0F61C4C5D8EE_.wvu.PrintArea" localSheetId="36" hidden="1">'12.09-12.15'!$A$1:$H$54</definedName>
    <definedName name="Z_CD08FFCB_5C1E_4FBC_90EE_0F61C4C5D8EE_.wvu.PrintArea" localSheetId="37" hidden="1">'12.16-12.22'!$A$1:$H$54</definedName>
    <definedName name="Z_CD08FFCB_5C1E_4FBC_90EE_0F61C4C5D8EE_.wvu.PrintArea" localSheetId="38" hidden="1">'12.23-12.29'!$A$1:$H$54</definedName>
    <definedName name="Z_CD08FFCB_5C1E_4FBC_90EE_0F61C4C5D8EE_.wvu.PrintTitles" localSheetId="0" hidden="1">'04.01-04.07'!$1:$1</definedName>
    <definedName name="Z_CD08FFCB_5C1E_4FBC_90EE_0F61C4C5D8EE_.wvu.PrintTitles" localSheetId="2" hidden="1">'04.15-04.21'!$1:$1</definedName>
    <definedName name="Z_CD08FFCB_5C1E_4FBC_90EE_0F61C4C5D8EE_.wvu.PrintTitles" localSheetId="3" hidden="1">'04.22-04.28'!$1:$1</definedName>
    <definedName name="Z_CD08FFCB_5C1E_4FBC_90EE_0F61C4C5D8EE_.wvu.PrintTitles" localSheetId="4" hidden="1">'04.29-05.05'!$1:$1</definedName>
    <definedName name="Z_CD08FFCB_5C1E_4FBC_90EE_0F61C4C5D8EE_.wvu.PrintTitles" localSheetId="5" hidden="1">'05.06-05.12'!$1:$1</definedName>
    <definedName name="Z_CD08FFCB_5C1E_4FBC_90EE_0F61C4C5D8EE_.wvu.PrintTitles" localSheetId="6" hidden="1">'05.13-05.19'!$1:$1</definedName>
    <definedName name="Z_CD08FFCB_5C1E_4FBC_90EE_0F61C4C5D8EE_.wvu.PrintTitles" localSheetId="7" hidden="1">'05.20-05.26'!$1:$1</definedName>
    <definedName name="Z_CD08FFCB_5C1E_4FBC_90EE_0F61C4C5D8EE_.wvu.PrintTitles" localSheetId="8" hidden="1">'05.27-06.02'!$1:$1</definedName>
    <definedName name="Z_CD08FFCB_5C1E_4FBC_90EE_0F61C4C5D8EE_.wvu.PrintTitles" localSheetId="9" hidden="1">'06.03-06.09'!$1:$1</definedName>
    <definedName name="Z_CD08FFCB_5C1E_4FBC_90EE_0F61C4C5D8EE_.wvu.PrintTitles" localSheetId="10" hidden="1">'06.10-06.16'!$1:$1</definedName>
    <definedName name="Z_CD08FFCB_5C1E_4FBC_90EE_0F61C4C5D8EE_.wvu.PrintTitles" localSheetId="11" hidden="1">'06.17-06.23'!$1:$1</definedName>
    <definedName name="Z_CD08FFCB_5C1E_4FBC_90EE_0F61C4C5D8EE_.wvu.PrintTitles" localSheetId="12" hidden="1">'06.24-06.30'!$1:$1</definedName>
    <definedName name="Z_CD08FFCB_5C1E_4FBC_90EE_0F61C4C5D8EE_.wvu.PrintTitles" localSheetId="13" hidden="1">'07.01-07.07'!$1:$1</definedName>
    <definedName name="Z_CD08FFCB_5C1E_4FBC_90EE_0F61C4C5D8EE_.wvu.PrintTitles" localSheetId="14" hidden="1">'07.08-07.14'!$1:$1</definedName>
    <definedName name="Z_CD08FFCB_5C1E_4FBC_90EE_0F61C4C5D8EE_.wvu.PrintTitles" localSheetId="15" hidden="1">'07.15-07.21'!$1:$1</definedName>
    <definedName name="Z_CD08FFCB_5C1E_4FBC_90EE_0F61C4C5D8EE_.wvu.PrintTitles" localSheetId="16" hidden="1">'07.22-07.28'!$1:$1</definedName>
    <definedName name="Z_CD08FFCB_5C1E_4FBC_90EE_0F61C4C5D8EE_.wvu.PrintTitles" localSheetId="17" hidden="1">'07.29-08.04'!$1:$1</definedName>
    <definedName name="Z_CD08FFCB_5C1E_4FBC_90EE_0F61C4C5D8EE_.wvu.PrintTitles" localSheetId="18" hidden="1">'08.05-08.11'!$1:$1</definedName>
    <definedName name="Z_CD08FFCB_5C1E_4FBC_90EE_0F61C4C5D8EE_.wvu.PrintTitles" localSheetId="19" hidden="1">'08.12-08.18'!$1:$1</definedName>
    <definedName name="Z_CD08FFCB_5C1E_4FBC_90EE_0F61C4C5D8EE_.wvu.PrintTitles" localSheetId="20" hidden="1">'08.19-08.25'!$1:$1</definedName>
    <definedName name="Z_CD08FFCB_5C1E_4FBC_90EE_0F61C4C5D8EE_.wvu.PrintTitles" localSheetId="21" hidden="1">'08.26-09.01'!$1:$1</definedName>
    <definedName name="Z_CD08FFCB_5C1E_4FBC_90EE_0F61C4C5D8EE_.wvu.PrintTitles" localSheetId="22" hidden="1">'09.02-09.08'!$1:$1</definedName>
    <definedName name="Z_CD08FFCB_5C1E_4FBC_90EE_0F61C4C5D8EE_.wvu.PrintTitles" localSheetId="23" hidden="1">'09.09-09.15'!$1:$1</definedName>
    <definedName name="Z_CD08FFCB_5C1E_4FBC_90EE_0F61C4C5D8EE_.wvu.PrintTitles" localSheetId="24" hidden="1">'09.16-09.22'!$1:$1</definedName>
    <definedName name="Z_CD08FFCB_5C1E_4FBC_90EE_0F61C4C5D8EE_.wvu.PrintTitles" localSheetId="25" hidden="1">'09.23-09.29'!$1:$1</definedName>
    <definedName name="Z_CD08FFCB_5C1E_4FBC_90EE_0F61C4C5D8EE_.wvu.PrintTitles" localSheetId="26" hidden="1">'09.30-10.06'!$1:$1</definedName>
    <definedName name="Z_CD08FFCB_5C1E_4FBC_90EE_0F61C4C5D8EE_.wvu.PrintTitles" localSheetId="27" hidden="1">'10.07-10.13'!$1:$1</definedName>
    <definedName name="Z_CD08FFCB_5C1E_4FBC_90EE_0F61C4C5D8EE_.wvu.PrintTitles" localSheetId="28" hidden="1">'10.14-10.20'!$1:$1</definedName>
    <definedName name="Z_CD08FFCB_5C1E_4FBC_90EE_0F61C4C5D8EE_.wvu.PrintTitles" localSheetId="29" hidden="1">'10.21-10.27'!$1:$1</definedName>
    <definedName name="Z_CD08FFCB_5C1E_4FBC_90EE_0F61C4C5D8EE_.wvu.PrintTitles" localSheetId="30" hidden="1">'10.28-11.03'!$1:$1</definedName>
    <definedName name="Z_CD08FFCB_5C1E_4FBC_90EE_0F61C4C5D8EE_.wvu.PrintTitles" localSheetId="31" hidden="1">'11.04-11.10'!$1:$1</definedName>
    <definedName name="Z_CD08FFCB_5C1E_4FBC_90EE_0F61C4C5D8EE_.wvu.PrintTitles" localSheetId="32" hidden="1">'11.11-11.17'!$1:$1</definedName>
    <definedName name="Z_CD08FFCB_5C1E_4FBC_90EE_0F61C4C5D8EE_.wvu.PrintTitles" localSheetId="33" hidden="1">'11.18-11.24'!$1:$1</definedName>
    <definedName name="Z_CD08FFCB_5C1E_4FBC_90EE_0F61C4C5D8EE_.wvu.PrintTitles" localSheetId="34" hidden="1">'11.25-12.01'!$1:$1</definedName>
    <definedName name="Z_CD08FFCB_5C1E_4FBC_90EE_0F61C4C5D8EE_.wvu.PrintTitles" localSheetId="35" hidden="1">'12.02-12.08'!$1:$1</definedName>
    <definedName name="Z_CD08FFCB_5C1E_4FBC_90EE_0F61C4C5D8EE_.wvu.PrintTitles" localSheetId="36" hidden="1">'12.09-12.15'!$1:$1</definedName>
    <definedName name="Z_CD08FFCB_5C1E_4FBC_90EE_0F61C4C5D8EE_.wvu.PrintTitles" localSheetId="37" hidden="1">'12.16-12.22'!$1:$1</definedName>
    <definedName name="Z_CD08FFCB_5C1E_4FBC_90EE_0F61C4C5D8EE_.wvu.PrintTitles" localSheetId="38" hidden="1">'12.23-12.29'!$1:$1</definedName>
    <definedName name="Z_D4470CD2_528C_41AD_9E69_DB221017C7C0_.wvu.PrintArea" localSheetId="0" hidden="1">'04.01-04.07'!$A$1:$H$60</definedName>
    <definedName name="Z_D4470CD2_528C_41AD_9E69_DB221017C7C0_.wvu.PrintArea" localSheetId="2" hidden="1">'04.15-04.21'!$A$1:$H$55</definedName>
    <definedName name="Z_D4470CD2_528C_41AD_9E69_DB221017C7C0_.wvu.PrintArea" localSheetId="3" hidden="1">'04.22-04.28'!$A$1:$H$53</definedName>
    <definedName name="Z_D4470CD2_528C_41AD_9E69_DB221017C7C0_.wvu.PrintArea" localSheetId="4" hidden="1">'04.29-05.05'!$A$1:$H$54</definedName>
    <definedName name="Z_D4470CD2_528C_41AD_9E69_DB221017C7C0_.wvu.PrintArea" localSheetId="5" hidden="1">'05.06-05.12'!$A$1:$H$53</definedName>
    <definedName name="Z_D4470CD2_528C_41AD_9E69_DB221017C7C0_.wvu.PrintArea" localSheetId="6" hidden="1">'05.13-05.19'!$A$1:$H$55</definedName>
    <definedName name="Z_D4470CD2_528C_41AD_9E69_DB221017C7C0_.wvu.PrintArea" localSheetId="7" hidden="1">'05.20-05.26'!$A$1:$H$55</definedName>
    <definedName name="Z_D4470CD2_528C_41AD_9E69_DB221017C7C0_.wvu.PrintArea" localSheetId="8" hidden="1">'05.27-06.02'!$A$1:$H$45</definedName>
    <definedName name="Z_D4470CD2_528C_41AD_9E69_DB221017C7C0_.wvu.PrintArea" localSheetId="9" hidden="1">'06.03-06.09'!$A$1:$H$48</definedName>
    <definedName name="Z_D4470CD2_528C_41AD_9E69_DB221017C7C0_.wvu.PrintArea" localSheetId="10" hidden="1">'06.10-06.16'!$A$1:$H$48</definedName>
    <definedName name="Z_D4470CD2_528C_41AD_9E69_DB221017C7C0_.wvu.PrintArea" localSheetId="11" hidden="1">'06.17-06.23'!$A$1:$H$53</definedName>
    <definedName name="Z_D4470CD2_528C_41AD_9E69_DB221017C7C0_.wvu.PrintArea" localSheetId="12" hidden="1">'06.24-06.30'!$A$1:$H$54</definedName>
    <definedName name="Z_D4470CD2_528C_41AD_9E69_DB221017C7C0_.wvu.PrintArea" localSheetId="13" hidden="1">'07.01-07.07'!$A$1:$H$53</definedName>
    <definedName name="Z_D4470CD2_528C_41AD_9E69_DB221017C7C0_.wvu.PrintArea" localSheetId="14" hidden="1">'07.08-07.14'!$A$1:$H$52</definedName>
    <definedName name="Z_D4470CD2_528C_41AD_9E69_DB221017C7C0_.wvu.PrintArea" localSheetId="15" hidden="1">'07.15-07.21'!$A$1:$H$55</definedName>
    <definedName name="Z_D4470CD2_528C_41AD_9E69_DB221017C7C0_.wvu.PrintArea" localSheetId="16" hidden="1">'07.22-07.28'!$A$1:$H$54</definedName>
    <definedName name="Z_D4470CD2_528C_41AD_9E69_DB221017C7C0_.wvu.PrintArea" localSheetId="17" hidden="1">'07.29-08.04'!$A$1:$H$54</definedName>
    <definedName name="Z_D4470CD2_528C_41AD_9E69_DB221017C7C0_.wvu.PrintArea" localSheetId="18" hidden="1">'08.05-08.11'!$A$1:$H$52</definedName>
    <definedName name="Z_D4470CD2_528C_41AD_9E69_DB221017C7C0_.wvu.PrintArea" localSheetId="19" hidden="1">'08.12-08.18'!$A$1:$H$54</definedName>
    <definedName name="Z_D4470CD2_528C_41AD_9E69_DB221017C7C0_.wvu.PrintArea" localSheetId="20" hidden="1">'08.19-08.25'!$A$1:$H$54</definedName>
    <definedName name="Z_D4470CD2_528C_41AD_9E69_DB221017C7C0_.wvu.PrintArea" localSheetId="21" hidden="1">'08.26-09.01'!$A$1:$H$47</definedName>
    <definedName name="Z_D4470CD2_528C_41AD_9E69_DB221017C7C0_.wvu.PrintArea" localSheetId="22" hidden="1">'09.02-09.08'!$A$1:$H$54</definedName>
    <definedName name="Z_D4470CD2_528C_41AD_9E69_DB221017C7C0_.wvu.PrintArea" localSheetId="23" hidden="1">'09.09-09.15'!$A$1:$H$54</definedName>
    <definedName name="Z_D4470CD2_528C_41AD_9E69_DB221017C7C0_.wvu.PrintArea" localSheetId="24" hidden="1">'09.16-09.22'!$A$1:$H$54</definedName>
    <definedName name="Z_D4470CD2_528C_41AD_9E69_DB221017C7C0_.wvu.PrintArea" localSheetId="25" hidden="1">'09.23-09.29'!$A$1:$H$54</definedName>
    <definedName name="Z_D4470CD2_528C_41AD_9E69_DB221017C7C0_.wvu.PrintArea" localSheetId="26" hidden="1">'09.30-10.06'!$A$1:$H$54</definedName>
    <definedName name="Z_D4470CD2_528C_41AD_9E69_DB221017C7C0_.wvu.PrintArea" localSheetId="27" hidden="1">'10.07-10.13'!$A$1:$H$54</definedName>
    <definedName name="Z_D4470CD2_528C_41AD_9E69_DB221017C7C0_.wvu.PrintArea" localSheetId="28" hidden="1">'10.14-10.20'!$A$1:$H$54</definedName>
    <definedName name="Z_D4470CD2_528C_41AD_9E69_DB221017C7C0_.wvu.PrintArea" localSheetId="29" hidden="1">'10.21-10.27'!$A$1:$H$54</definedName>
    <definedName name="Z_D4470CD2_528C_41AD_9E69_DB221017C7C0_.wvu.PrintArea" localSheetId="30" hidden="1">'10.28-11.03'!$A$1:$H$54</definedName>
    <definedName name="Z_D4470CD2_528C_41AD_9E69_DB221017C7C0_.wvu.PrintArea" localSheetId="31" hidden="1">'11.04-11.10'!$A$1:$H$54</definedName>
    <definedName name="Z_D4470CD2_528C_41AD_9E69_DB221017C7C0_.wvu.PrintArea" localSheetId="32" hidden="1">'11.11-11.17'!$A$1:$H$54</definedName>
    <definedName name="Z_D4470CD2_528C_41AD_9E69_DB221017C7C0_.wvu.PrintArea" localSheetId="33" hidden="1">'11.18-11.24'!$A$1:$H$54</definedName>
    <definedName name="Z_D4470CD2_528C_41AD_9E69_DB221017C7C0_.wvu.PrintArea" localSheetId="34" hidden="1">'11.25-12.01'!$A$1:$H$54</definedName>
    <definedName name="Z_D4470CD2_528C_41AD_9E69_DB221017C7C0_.wvu.PrintArea" localSheetId="35" hidden="1">'12.02-12.08'!$A$1:$H$54</definedName>
    <definedName name="Z_D4470CD2_528C_41AD_9E69_DB221017C7C0_.wvu.PrintArea" localSheetId="36" hidden="1">'12.09-12.15'!$A$1:$H$54</definedName>
    <definedName name="Z_D4470CD2_528C_41AD_9E69_DB221017C7C0_.wvu.PrintArea" localSheetId="37" hidden="1">'12.16-12.22'!$A$1:$H$54</definedName>
    <definedName name="Z_D4470CD2_528C_41AD_9E69_DB221017C7C0_.wvu.PrintArea" localSheetId="38" hidden="1">'12.23-12.29'!$A$1:$H$54</definedName>
    <definedName name="Z_D4470CD2_528C_41AD_9E69_DB221017C7C0_.wvu.PrintTitles" localSheetId="0" hidden="1">'04.01-04.07'!$1:$1</definedName>
    <definedName name="Z_D4470CD2_528C_41AD_9E69_DB221017C7C0_.wvu.PrintTitles" localSheetId="2" hidden="1">'04.15-04.21'!$1:$1</definedName>
    <definedName name="Z_D4470CD2_528C_41AD_9E69_DB221017C7C0_.wvu.PrintTitles" localSheetId="3" hidden="1">'04.22-04.28'!$1:$1</definedName>
    <definedName name="Z_D4470CD2_528C_41AD_9E69_DB221017C7C0_.wvu.PrintTitles" localSheetId="4" hidden="1">'04.29-05.05'!$1:$1</definedName>
    <definedName name="Z_D4470CD2_528C_41AD_9E69_DB221017C7C0_.wvu.PrintTitles" localSheetId="5" hidden="1">'05.06-05.12'!$1:$1</definedName>
    <definedName name="Z_D4470CD2_528C_41AD_9E69_DB221017C7C0_.wvu.PrintTitles" localSheetId="6" hidden="1">'05.13-05.19'!$1:$1</definedName>
    <definedName name="Z_D4470CD2_528C_41AD_9E69_DB221017C7C0_.wvu.PrintTitles" localSheetId="7" hidden="1">'05.20-05.26'!$1:$1</definedName>
    <definedName name="Z_D4470CD2_528C_41AD_9E69_DB221017C7C0_.wvu.PrintTitles" localSheetId="8" hidden="1">'05.27-06.02'!$1:$1</definedName>
    <definedName name="Z_D4470CD2_528C_41AD_9E69_DB221017C7C0_.wvu.PrintTitles" localSheetId="9" hidden="1">'06.03-06.09'!$1:$1</definedName>
    <definedName name="Z_D4470CD2_528C_41AD_9E69_DB221017C7C0_.wvu.PrintTitles" localSheetId="10" hidden="1">'06.10-06.16'!$1:$1</definedName>
    <definedName name="Z_D4470CD2_528C_41AD_9E69_DB221017C7C0_.wvu.PrintTitles" localSheetId="11" hidden="1">'06.17-06.23'!$1:$1</definedName>
    <definedName name="Z_D4470CD2_528C_41AD_9E69_DB221017C7C0_.wvu.PrintTitles" localSheetId="12" hidden="1">'06.24-06.30'!$1:$1</definedName>
    <definedName name="Z_D4470CD2_528C_41AD_9E69_DB221017C7C0_.wvu.PrintTitles" localSheetId="13" hidden="1">'07.01-07.07'!$1:$1</definedName>
    <definedName name="Z_D4470CD2_528C_41AD_9E69_DB221017C7C0_.wvu.PrintTitles" localSheetId="14" hidden="1">'07.08-07.14'!$1:$1</definedName>
    <definedName name="Z_D4470CD2_528C_41AD_9E69_DB221017C7C0_.wvu.PrintTitles" localSheetId="15" hidden="1">'07.15-07.21'!$1:$1</definedName>
    <definedName name="Z_D4470CD2_528C_41AD_9E69_DB221017C7C0_.wvu.PrintTitles" localSheetId="16" hidden="1">'07.22-07.28'!$1:$1</definedName>
    <definedName name="Z_D4470CD2_528C_41AD_9E69_DB221017C7C0_.wvu.PrintTitles" localSheetId="17" hidden="1">'07.29-08.04'!$1:$1</definedName>
    <definedName name="Z_D4470CD2_528C_41AD_9E69_DB221017C7C0_.wvu.PrintTitles" localSheetId="18" hidden="1">'08.05-08.11'!$1:$1</definedName>
    <definedName name="Z_D4470CD2_528C_41AD_9E69_DB221017C7C0_.wvu.PrintTitles" localSheetId="19" hidden="1">'08.12-08.18'!$1:$1</definedName>
    <definedName name="Z_D4470CD2_528C_41AD_9E69_DB221017C7C0_.wvu.PrintTitles" localSheetId="20" hidden="1">'08.19-08.25'!$1:$1</definedName>
    <definedName name="Z_D4470CD2_528C_41AD_9E69_DB221017C7C0_.wvu.PrintTitles" localSheetId="21" hidden="1">'08.26-09.01'!$1:$1</definedName>
    <definedName name="Z_D4470CD2_528C_41AD_9E69_DB221017C7C0_.wvu.PrintTitles" localSheetId="22" hidden="1">'09.02-09.08'!$1:$1</definedName>
    <definedName name="Z_D4470CD2_528C_41AD_9E69_DB221017C7C0_.wvu.PrintTitles" localSheetId="23" hidden="1">'09.09-09.15'!$1:$1</definedName>
    <definedName name="Z_D4470CD2_528C_41AD_9E69_DB221017C7C0_.wvu.PrintTitles" localSheetId="24" hidden="1">'09.16-09.22'!$1:$1</definedName>
    <definedName name="Z_D4470CD2_528C_41AD_9E69_DB221017C7C0_.wvu.PrintTitles" localSheetId="25" hidden="1">'09.23-09.29'!$1:$1</definedName>
    <definedName name="Z_D4470CD2_528C_41AD_9E69_DB221017C7C0_.wvu.PrintTitles" localSheetId="26" hidden="1">'09.30-10.06'!$1:$1</definedName>
    <definedName name="Z_D4470CD2_528C_41AD_9E69_DB221017C7C0_.wvu.PrintTitles" localSheetId="27" hidden="1">'10.07-10.13'!$1:$1</definedName>
    <definedName name="Z_D4470CD2_528C_41AD_9E69_DB221017C7C0_.wvu.PrintTitles" localSheetId="28" hidden="1">'10.14-10.20'!$1:$1</definedName>
    <definedName name="Z_D4470CD2_528C_41AD_9E69_DB221017C7C0_.wvu.PrintTitles" localSheetId="29" hidden="1">'10.21-10.27'!$1:$1</definedName>
    <definedName name="Z_D4470CD2_528C_41AD_9E69_DB221017C7C0_.wvu.PrintTitles" localSheetId="30" hidden="1">'10.28-11.03'!$1:$1</definedName>
    <definedName name="Z_D4470CD2_528C_41AD_9E69_DB221017C7C0_.wvu.PrintTitles" localSheetId="31" hidden="1">'11.04-11.10'!$1:$1</definedName>
    <definedName name="Z_D4470CD2_528C_41AD_9E69_DB221017C7C0_.wvu.PrintTitles" localSheetId="32" hidden="1">'11.11-11.17'!$1:$1</definedName>
    <definedName name="Z_D4470CD2_528C_41AD_9E69_DB221017C7C0_.wvu.PrintTitles" localSheetId="33" hidden="1">'11.18-11.24'!$1:$1</definedName>
    <definedName name="Z_D4470CD2_528C_41AD_9E69_DB221017C7C0_.wvu.PrintTitles" localSheetId="34" hidden="1">'11.25-12.01'!$1:$1</definedName>
    <definedName name="Z_D4470CD2_528C_41AD_9E69_DB221017C7C0_.wvu.PrintTitles" localSheetId="35" hidden="1">'12.02-12.08'!$1:$1</definedName>
    <definedName name="Z_D4470CD2_528C_41AD_9E69_DB221017C7C0_.wvu.PrintTitles" localSheetId="36" hidden="1">'12.09-12.15'!$1:$1</definedName>
    <definedName name="Z_D4470CD2_528C_41AD_9E69_DB221017C7C0_.wvu.PrintTitles" localSheetId="37" hidden="1">'12.16-12.22'!$1:$1</definedName>
    <definedName name="Z_D4470CD2_528C_41AD_9E69_DB221017C7C0_.wvu.PrintTitles" localSheetId="38" hidden="1">'12.23-12.29'!$1:$1</definedName>
    <definedName name="Z_D4470CD2_528C_41AD_9E69_DB221017C7C0_.wvu.Rows" localSheetId="6" hidden="1">'05.13-05.19'!$23:$28</definedName>
    <definedName name="Z_D4470CD2_528C_41AD_9E69_DB221017C7C0_.wvu.Rows" localSheetId="7" hidden="1">'05.20-05.26'!$26:$32</definedName>
    <definedName name="Z_F9BF4A8F_31C2_451D_B694_7420019F0BAD_.wvu.PrintArea" localSheetId="0" hidden="1">'04.01-04.07'!$A$1:$H$60</definedName>
    <definedName name="Z_F9BF4A8F_31C2_451D_B694_7420019F0BAD_.wvu.PrintArea" localSheetId="2" hidden="1">'04.15-04.21'!$A$1:$H$55</definedName>
    <definedName name="Z_F9BF4A8F_31C2_451D_B694_7420019F0BAD_.wvu.PrintArea" localSheetId="3" hidden="1">'04.22-04.28'!$A$1:$H$53</definedName>
    <definedName name="Z_F9BF4A8F_31C2_451D_B694_7420019F0BAD_.wvu.PrintArea" localSheetId="4" hidden="1">'04.29-05.05'!$A$1:$H$54</definedName>
    <definedName name="Z_F9BF4A8F_31C2_451D_B694_7420019F0BAD_.wvu.PrintArea" localSheetId="5" hidden="1">'05.06-05.12'!$A$1:$H$53</definedName>
    <definedName name="Z_F9BF4A8F_31C2_451D_B694_7420019F0BAD_.wvu.PrintArea" localSheetId="6" hidden="1">'05.13-05.19'!$A$1:$H$55</definedName>
    <definedName name="Z_F9BF4A8F_31C2_451D_B694_7420019F0BAD_.wvu.PrintArea" localSheetId="7" hidden="1">'05.20-05.26'!$A$1:$H$55</definedName>
    <definedName name="Z_F9BF4A8F_31C2_451D_B694_7420019F0BAD_.wvu.PrintArea" localSheetId="8" hidden="1">'05.27-06.02'!$A$1:$H$45</definedName>
    <definedName name="Z_F9BF4A8F_31C2_451D_B694_7420019F0BAD_.wvu.PrintArea" localSheetId="9" hidden="1">'06.03-06.09'!$A$1:$H$48</definedName>
    <definedName name="Z_F9BF4A8F_31C2_451D_B694_7420019F0BAD_.wvu.PrintArea" localSheetId="10" hidden="1">'06.10-06.16'!$A$1:$H$48</definedName>
    <definedName name="Z_F9BF4A8F_31C2_451D_B694_7420019F0BAD_.wvu.PrintArea" localSheetId="11" hidden="1">'06.17-06.23'!$A$1:$H$53</definedName>
    <definedName name="Z_F9BF4A8F_31C2_451D_B694_7420019F0BAD_.wvu.PrintArea" localSheetId="12" hidden="1">'06.24-06.30'!$A$1:$H$54</definedName>
    <definedName name="Z_F9BF4A8F_31C2_451D_B694_7420019F0BAD_.wvu.PrintArea" localSheetId="13" hidden="1">'07.01-07.07'!$A$1:$H$53</definedName>
    <definedName name="Z_F9BF4A8F_31C2_451D_B694_7420019F0BAD_.wvu.PrintArea" localSheetId="14" hidden="1">'07.08-07.14'!$A$1:$H$52</definedName>
    <definedName name="Z_F9BF4A8F_31C2_451D_B694_7420019F0BAD_.wvu.PrintArea" localSheetId="15" hidden="1">'07.15-07.21'!$A$1:$H$55</definedName>
    <definedName name="Z_F9BF4A8F_31C2_451D_B694_7420019F0BAD_.wvu.PrintArea" localSheetId="16" hidden="1">'07.22-07.28'!$A$1:$H$54</definedName>
    <definedName name="Z_F9BF4A8F_31C2_451D_B694_7420019F0BAD_.wvu.PrintArea" localSheetId="17" hidden="1">'07.29-08.04'!$A$1:$H$54</definedName>
    <definedName name="Z_F9BF4A8F_31C2_451D_B694_7420019F0BAD_.wvu.PrintArea" localSheetId="18" hidden="1">'08.05-08.11'!$A$1:$H$52</definedName>
    <definedName name="Z_F9BF4A8F_31C2_451D_B694_7420019F0BAD_.wvu.PrintArea" localSheetId="19" hidden="1">'08.12-08.18'!$A$1:$H$54</definedName>
    <definedName name="Z_F9BF4A8F_31C2_451D_B694_7420019F0BAD_.wvu.PrintArea" localSheetId="20" hidden="1">'08.19-08.25'!$A$1:$H$54</definedName>
    <definedName name="Z_F9BF4A8F_31C2_451D_B694_7420019F0BAD_.wvu.PrintArea" localSheetId="21" hidden="1">'08.26-09.01'!$A$1:$H$47</definedName>
    <definedName name="Z_F9BF4A8F_31C2_451D_B694_7420019F0BAD_.wvu.PrintArea" localSheetId="22" hidden="1">'09.02-09.08'!$A$1:$H$54</definedName>
    <definedName name="Z_F9BF4A8F_31C2_451D_B694_7420019F0BAD_.wvu.PrintArea" localSheetId="23" hidden="1">'09.09-09.15'!$A$1:$H$54</definedName>
    <definedName name="Z_F9BF4A8F_31C2_451D_B694_7420019F0BAD_.wvu.PrintArea" localSheetId="24" hidden="1">'09.16-09.22'!$A$1:$H$54</definedName>
    <definedName name="Z_F9BF4A8F_31C2_451D_B694_7420019F0BAD_.wvu.PrintArea" localSheetId="25" hidden="1">'09.23-09.29'!$A$1:$H$54</definedName>
    <definedName name="Z_F9BF4A8F_31C2_451D_B694_7420019F0BAD_.wvu.PrintArea" localSheetId="26" hidden="1">'09.30-10.06'!$A$1:$H$54</definedName>
    <definedName name="Z_F9BF4A8F_31C2_451D_B694_7420019F0BAD_.wvu.PrintArea" localSheetId="27" hidden="1">'10.07-10.13'!$A$1:$H$54</definedName>
    <definedName name="Z_F9BF4A8F_31C2_451D_B694_7420019F0BAD_.wvu.PrintArea" localSheetId="28" hidden="1">'10.14-10.20'!$A$1:$H$54</definedName>
    <definedName name="Z_F9BF4A8F_31C2_451D_B694_7420019F0BAD_.wvu.PrintArea" localSheetId="29" hidden="1">'10.21-10.27'!$A$1:$H$54</definedName>
    <definedName name="Z_F9BF4A8F_31C2_451D_B694_7420019F0BAD_.wvu.PrintArea" localSheetId="30" hidden="1">'10.28-11.03'!$A$1:$H$54</definedName>
    <definedName name="Z_F9BF4A8F_31C2_451D_B694_7420019F0BAD_.wvu.PrintArea" localSheetId="31" hidden="1">'11.04-11.10'!$A$1:$H$54</definedName>
    <definedName name="Z_F9BF4A8F_31C2_451D_B694_7420019F0BAD_.wvu.PrintArea" localSheetId="32" hidden="1">'11.11-11.17'!$A$1:$H$54</definedName>
    <definedName name="Z_F9BF4A8F_31C2_451D_B694_7420019F0BAD_.wvu.PrintArea" localSheetId="33" hidden="1">'11.18-11.24'!$A$1:$H$54</definedName>
    <definedName name="Z_F9BF4A8F_31C2_451D_B694_7420019F0BAD_.wvu.PrintArea" localSheetId="34" hidden="1">'11.25-12.01'!$A$1:$H$54</definedName>
    <definedName name="Z_F9BF4A8F_31C2_451D_B694_7420019F0BAD_.wvu.PrintArea" localSheetId="35" hidden="1">'12.02-12.08'!$A$1:$H$54</definedName>
    <definedName name="Z_F9BF4A8F_31C2_451D_B694_7420019F0BAD_.wvu.PrintArea" localSheetId="36" hidden="1">'12.09-12.15'!$A$1:$H$54</definedName>
    <definedName name="Z_F9BF4A8F_31C2_451D_B694_7420019F0BAD_.wvu.PrintArea" localSheetId="37" hidden="1">'12.16-12.22'!$A$1:$H$54</definedName>
    <definedName name="Z_F9BF4A8F_31C2_451D_B694_7420019F0BAD_.wvu.PrintArea" localSheetId="38" hidden="1">'12.23-12.29'!$A$1:$H$54</definedName>
    <definedName name="Z_F9BF4A8F_31C2_451D_B694_7420019F0BAD_.wvu.PrintTitles" localSheetId="0" hidden="1">'04.01-04.07'!$1:$1</definedName>
    <definedName name="Z_F9BF4A8F_31C2_451D_B694_7420019F0BAD_.wvu.PrintTitles" localSheetId="2" hidden="1">'04.15-04.21'!$1:$1</definedName>
    <definedName name="Z_F9BF4A8F_31C2_451D_B694_7420019F0BAD_.wvu.PrintTitles" localSheetId="3" hidden="1">'04.22-04.28'!$1:$1</definedName>
    <definedName name="Z_F9BF4A8F_31C2_451D_B694_7420019F0BAD_.wvu.PrintTitles" localSheetId="4" hidden="1">'04.29-05.05'!$1:$1</definedName>
    <definedName name="Z_F9BF4A8F_31C2_451D_B694_7420019F0BAD_.wvu.PrintTitles" localSheetId="5" hidden="1">'05.06-05.12'!$1:$1</definedName>
    <definedName name="Z_F9BF4A8F_31C2_451D_B694_7420019F0BAD_.wvu.PrintTitles" localSheetId="6" hidden="1">'05.13-05.19'!$1:$1</definedName>
    <definedName name="Z_F9BF4A8F_31C2_451D_B694_7420019F0BAD_.wvu.PrintTitles" localSheetId="7" hidden="1">'05.20-05.26'!$1:$1</definedName>
    <definedName name="Z_F9BF4A8F_31C2_451D_B694_7420019F0BAD_.wvu.PrintTitles" localSheetId="8" hidden="1">'05.27-06.02'!$1:$1</definedName>
    <definedName name="Z_F9BF4A8F_31C2_451D_B694_7420019F0BAD_.wvu.PrintTitles" localSheetId="9" hidden="1">'06.03-06.09'!$1:$1</definedName>
    <definedName name="Z_F9BF4A8F_31C2_451D_B694_7420019F0BAD_.wvu.PrintTitles" localSheetId="10" hidden="1">'06.10-06.16'!$1:$1</definedName>
    <definedName name="Z_F9BF4A8F_31C2_451D_B694_7420019F0BAD_.wvu.PrintTitles" localSheetId="11" hidden="1">'06.17-06.23'!$1:$1</definedName>
    <definedName name="Z_F9BF4A8F_31C2_451D_B694_7420019F0BAD_.wvu.PrintTitles" localSheetId="12" hidden="1">'06.24-06.30'!$1:$1</definedName>
    <definedName name="Z_F9BF4A8F_31C2_451D_B694_7420019F0BAD_.wvu.PrintTitles" localSheetId="13" hidden="1">'07.01-07.07'!$1:$1</definedName>
    <definedName name="Z_F9BF4A8F_31C2_451D_B694_7420019F0BAD_.wvu.PrintTitles" localSheetId="14" hidden="1">'07.08-07.14'!$1:$1</definedName>
    <definedName name="Z_F9BF4A8F_31C2_451D_B694_7420019F0BAD_.wvu.PrintTitles" localSheetId="15" hidden="1">'07.15-07.21'!$1:$1</definedName>
    <definedName name="Z_F9BF4A8F_31C2_451D_B694_7420019F0BAD_.wvu.PrintTitles" localSheetId="16" hidden="1">'07.22-07.28'!$1:$1</definedName>
    <definedName name="Z_F9BF4A8F_31C2_451D_B694_7420019F0BAD_.wvu.PrintTitles" localSheetId="17" hidden="1">'07.29-08.04'!$1:$1</definedName>
    <definedName name="Z_F9BF4A8F_31C2_451D_B694_7420019F0BAD_.wvu.PrintTitles" localSheetId="18" hidden="1">'08.05-08.11'!$1:$1</definedName>
    <definedName name="Z_F9BF4A8F_31C2_451D_B694_7420019F0BAD_.wvu.PrintTitles" localSheetId="19" hidden="1">'08.12-08.18'!$1:$1</definedName>
    <definedName name="Z_F9BF4A8F_31C2_451D_B694_7420019F0BAD_.wvu.PrintTitles" localSheetId="20" hidden="1">'08.19-08.25'!$1:$1</definedName>
    <definedName name="Z_F9BF4A8F_31C2_451D_B694_7420019F0BAD_.wvu.PrintTitles" localSheetId="21" hidden="1">'08.26-09.01'!$1:$1</definedName>
    <definedName name="Z_F9BF4A8F_31C2_451D_B694_7420019F0BAD_.wvu.PrintTitles" localSheetId="22" hidden="1">'09.02-09.08'!$1:$1</definedName>
    <definedName name="Z_F9BF4A8F_31C2_451D_B694_7420019F0BAD_.wvu.PrintTitles" localSheetId="23" hidden="1">'09.09-09.15'!$1:$1</definedName>
    <definedName name="Z_F9BF4A8F_31C2_451D_B694_7420019F0BAD_.wvu.PrintTitles" localSheetId="24" hidden="1">'09.16-09.22'!$1:$1</definedName>
    <definedName name="Z_F9BF4A8F_31C2_451D_B694_7420019F0BAD_.wvu.PrintTitles" localSheetId="25" hidden="1">'09.23-09.29'!$1:$1</definedName>
    <definedName name="Z_F9BF4A8F_31C2_451D_B694_7420019F0BAD_.wvu.PrintTitles" localSheetId="26" hidden="1">'09.30-10.06'!$1:$1</definedName>
    <definedName name="Z_F9BF4A8F_31C2_451D_B694_7420019F0BAD_.wvu.PrintTitles" localSheetId="27" hidden="1">'10.07-10.13'!$1:$1</definedName>
    <definedName name="Z_F9BF4A8F_31C2_451D_B694_7420019F0BAD_.wvu.PrintTitles" localSheetId="28" hidden="1">'10.14-10.20'!$1:$1</definedName>
    <definedName name="Z_F9BF4A8F_31C2_451D_B694_7420019F0BAD_.wvu.PrintTitles" localSheetId="29" hidden="1">'10.21-10.27'!$1:$1</definedName>
    <definedName name="Z_F9BF4A8F_31C2_451D_B694_7420019F0BAD_.wvu.PrintTitles" localSheetId="30" hidden="1">'10.28-11.03'!$1:$1</definedName>
    <definedName name="Z_F9BF4A8F_31C2_451D_B694_7420019F0BAD_.wvu.PrintTitles" localSheetId="31" hidden="1">'11.04-11.10'!$1:$1</definedName>
    <definedName name="Z_F9BF4A8F_31C2_451D_B694_7420019F0BAD_.wvu.PrintTitles" localSheetId="32" hidden="1">'11.11-11.17'!$1:$1</definedName>
    <definedName name="Z_F9BF4A8F_31C2_451D_B694_7420019F0BAD_.wvu.PrintTitles" localSheetId="33" hidden="1">'11.18-11.24'!$1:$1</definedName>
    <definedName name="Z_F9BF4A8F_31C2_451D_B694_7420019F0BAD_.wvu.PrintTitles" localSheetId="34" hidden="1">'11.25-12.01'!$1:$1</definedName>
    <definedName name="Z_F9BF4A8F_31C2_451D_B694_7420019F0BAD_.wvu.PrintTitles" localSheetId="35" hidden="1">'12.02-12.08'!$1:$1</definedName>
    <definedName name="Z_F9BF4A8F_31C2_451D_B694_7420019F0BAD_.wvu.PrintTitles" localSheetId="36" hidden="1">'12.09-12.15'!$1:$1</definedName>
    <definedName name="Z_F9BF4A8F_31C2_451D_B694_7420019F0BAD_.wvu.PrintTitles" localSheetId="37" hidden="1">'12.16-12.22'!$1:$1</definedName>
    <definedName name="Z_F9BF4A8F_31C2_451D_B694_7420019F0BAD_.wvu.PrintTitles" localSheetId="38" hidden="1">'12.23-12.29'!$1:$1</definedName>
  </definedNames>
  <calcPr calcId="191028"/>
  <customWorkbookViews>
    <customWorkbookView name="Baka Barnabás - Egyéni nézet" guid="{413CAF1F-62E2-41F5-A4C6-2C341582DC5D}" mergeInterval="0" personalView="1" maximized="1" xWindow="1912" yWindow="-8" windowWidth="1696" windowHeight="1066" activeSheetId="20"/>
    <customWorkbookView name="Pup Gusztáv - Egyéni nézet" guid="{46540580-8292-4E21-84A5-B58390F70AE7}" mergeInterval="0" personalView="1" maximized="1" windowWidth="1920" windowHeight="855" activeSheetId="19"/>
    <customWorkbookView name="baloghm - Egyéni nézet" guid="{07BAD8F1-49B6-40C7-A1B5-B8EF23A4A904}" mergeInterval="0" personalView="1" maximized="1" xWindow="1" yWindow="1" windowWidth="1916" windowHeight="815" activeSheetId="15"/>
    <customWorkbookView name="Jókai Zoltán - Egyéni nézet" guid="{4B58F0A9-071E-4376-B7AD-463366669E19}" mergeInterval="0" personalView="1" maximized="1" xWindow="-8" yWindow="-8" windowWidth="1616" windowHeight="876" activeSheetId="24"/>
    <customWorkbookView name="Kunfalvi Péter - Egyéni nézet" guid="{63A8D7FC-210D-4D74-8AB0-DBA9D993D16B}" mergeInterval="0" personalView="1" maximized="1" xWindow="-8" yWindow="-8" windowWidth="1936" windowHeight="1056" activeSheetId="14"/>
    <customWorkbookView name="Kovács Krisztián - Egyéni nézet" guid="{70878244-3585-447C-8730-0EB8549AE1A6}" mergeInterval="0" personalView="1" maximized="1" xWindow="-8" yWindow="-8" windowWidth="1936" windowHeight="1056" activeSheetId="19"/>
    <customWorkbookView name="Schönweitz Sándor - Egyéni nézet" guid="{D4470CD2-528C-41AD-9E69-DB221017C7C0}" mergeInterval="0" personalView="1" maximized="1" windowWidth="1920" windowHeight="829" activeSheetId="19"/>
    <customWorkbookView name="Kulcsár László - Egyéni nézet" guid="{CD08FFCB-5C1E-4FBC-90EE-0F61C4C5D8EE}" mergeInterval="0" personalView="1" maximized="1" xWindow="-8" yWindow="-8" windowWidth="1936" windowHeight="1056" activeSheetId="19"/>
    <customWorkbookView name="Nagy József - Egyéni nézet" guid="{A47E18E7-D250-4913-909E-65F626A4EC80}" mergeInterval="0" personalView="1" maximized="1" windowWidth="1608" windowHeight="803" activeSheetId="20"/>
    <customWorkbookView name="Gergely József - Egyéni nézet" guid="{4C7C4345-D832-4452-B223-3E4A3FAA8500}" mergeInterval="0" personalView="1" maximized="1" xWindow="-8" yWindow="-8" windowWidth="1936" windowHeight="1056" activeSheetId="20"/>
    <customWorkbookView name="rajkok - Egyéni nézet" guid="{F9BF4A8F-31C2-451D-B694-7420019F0BAD}" mergeInterval="0" personalView="1" maximized="1" xWindow="1" yWindow="1" windowWidth="1920" windowHeight="889" activeSheetId="21"/>
    <customWorkbookView name="Borbás Tibor - Egyéni nézet" guid="{0D091791-6928-48DD-B75F-0677FDB23A54}" mergeInterval="0" personalView="1" maximized="1" xWindow="1912" yWindow="-8" windowWidth="1936" windowHeight="1056" activeSheetId="43"/>
  </customWorkbookView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27" i="41" l="1"/>
  <c r="I14" i="41"/>
  <c r="I49" i="41" s="1"/>
  <c r="I27" i="20" l="1"/>
  <c r="I54" i="8"/>
  <c r="I45" i="9"/>
  <c r="I46" i="10"/>
  <c r="I48" i="14"/>
  <c r="I12" i="19"/>
  <c r="I14" i="20" s="1"/>
  <c r="I48" i="20" l="1"/>
  <c r="I46" i="19"/>
  <c r="I7" i="16"/>
  <c r="I27" i="17" l="1"/>
  <c r="I12" i="15"/>
  <c r="I14" i="16" l="1"/>
  <c r="I47" i="15"/>
  <c r="I8" i="11"/>
  <c r="I48" i="11" s="1"/>
  <c r="I14" i="17" l="1"/>
  <c r="I50" i="16"/>
  <c r="I7" i="12"/>
  <c r="I48" i="12" s="1"/>
  <c r="I14" i="18" l="1"/>
  <c r="I48" i="18" s="1"/>
  <c r="I49" i="17"/>
  <c r="I10" i="13"/>
  <c r="I49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Pup Gusztáv</author>
  </authors>
  <commentList>
    <comment ref="F1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38"/>
          </rPr>
          <t>Pup Gusztáv:</t>
        </r>
        <r>
          <rPr>
            <sz val="9"/>
            <color indexed="81"/>
            <rFont val="Tahoma"/>
            <family val="2"/>
            <charset val="238"/>
          </rPr>
          <t xml:space="preserve">
Munkanapló hiányzik!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Pup Gusztáv</author>
  </authors>
  <commentList>
    <comment ref="D15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38"/>
          </rPr>
          <t>Pup Gusztáv: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<sst xmlns="http://schemas.openxmlformats.org/spreadsheetml/2006/main" count="2909" uniqueCount="1199">
  <si>
    <t>hétfő  1</t>
  </si>
  <si>
    <t>kedd  2</t>
  </si>
  <si>
    <t>szerda  3</t>
  </si>
  <si>
    <t>csütörtök  4</t>
  </si>
  <si>
    <t>péntek  5</t>
  </si>
  <si>
    <t>szombat  6</t>
  </si>
  <si>
    <t>vasárnap  7</t>
  </si>
  <si>
    <t>109/11715-1003 Rácalmás</t>
  </si>
  <si>
    <t>109/11715-1002 Rácalmás</t>
  </si>
  <si>
    <t>100/1601-1503 Siófok</t>
  </si>
  <si>
    <t>100/1600-3010 Adony</t>
  </si>
  <si>
    <t>100/1600-3018 Dföldvár</t>
  </si>
  <si>
    <t>109/11861-365 Szd</t>
  </si>
  <si>
    <t>100/1600-3011 Adony</t>
  </si>
  <si>
    <t>100/1600-3012 Paks</t>
  </si>
  <si>
    <t>100/1600-2983 Dföldvár</t>
  </si>
  <si>
    <t>100/1599</t>
  </si>
  <si>
    <t>100/1600-3017 Asztiván</t>
  </si>
  <si>
    <t>Ford</t>
  </si>
  <si>
    <t>NGM157</t>
  </si>
  <si>
    <t>Név</t>
  </si>
  <si>
    <t>Galág-Tolnai</t>
  </si>
  <si>
    <t>Staudt-Tolnai</t>
  </si>
  <si>
    <t>100/1601-1498 Siójut</t>
  </si>
  <si>
    <t>100/1608-  Őcsény</t>
  </si>
  <si>
    <t>100/1599 Eon léges</t>
  </si>
  <si>
    <t>100/1608 Nagyszokoly</t>
  </si>
  <si>
    <t>100/1601-1495     Varga</t>
  </si>
  <si>
    <t>13 óra 90000-s szerviz</t>
  </si>
  <si>
    <t>100/1608 Nagyszékely</t>
  </si>
  <si>
    <t>NGM158</t>
  </si>
  <si>
    <t>Jókai-Klieber</t>
  </si>
  <si>
    <t>Staudt -Kunfalvi</t>
  </si>
  <si>
    <t>100/1600-3003 Nagydorog</t>
  </si>
  <si>
    <t>109/11861-366 Szd</t>
  </si>
  <si>
    <t>113/10058 utólgos TECHNO</t>
  </si>
  <si>
    <t>113/10057 Paks</t>
  </si>
  <si>
    <t>109/11861-367 Decs</t>
  </si>
  <si>
    <t xml:space="preserve">                18 db</t>
  </si>
  <si>
    <t>100/1608-657  Tolna</t>
  </si>
  <si>
    <t>1/2 8 szerviz</t>
  </si>
  <si>
    <t>Dacia</t>
  </si>
  <si>
    <t>113/10059 Decs</t>
  </si>
  <si>
    <t>LSX504</t>
  </si>
  <si>
    <t>100/1600-2992 Dújv  12 óra</t>
  </si>
  <si>
    <t>Erős-Pilisi</t>
  </si>
  <si>
    <t>Kunfalvi</t>
  </si>
  <si>
    <t>Paks PSE</t>
  </si>
  <si>
    <t>Pécs</t>
  </si>
  <si>
    <t>100/1600-3014 Szd</t>
  </si>
  <si>
    <t>LTZ294</t>
  </si>
  <si>
    <t>Balogh-Staudt</t>
  </si>
  <si>
    <t>Balogh</t>
  </si>
  <si>
    <t>Staudt - Kunfalvi</t>
  </si>
  <si>
    <t>100/1600-3007 Paks</t>
  </si>
  <si>
    <t>109/11861-368 Szd</t>
  </si>
  <si>
    <t>100/1600-3008 Nagydorog</t>
  </si>
  <si>
    <t>100/1600-2992 Dújv</t>
  </si>
  <si>
    <t>100/1600-3009 Szekszárd</t>
  </si>
  <si>
    <t>Mazda</t>
  </si>
  <si>
    <t>JZA908</t>
  </si>
  <si>
    <t>100/1601-1501 Siófok</t>
  </si>
  <si>
    <t>Kaposvár</t>
  </si>
  <si>
    <t>Budapest</t>
  </si>
  <si>
    <t>100/1601-1502 Siófok</t>
  </si>
  <si>
    <t>100/1601-1504 Siófok</t>
  </si>
  <si>
    <t>SUZUKI</t>
  </si>
  <si>
    <t>NCH903</t>
  </si>
  <si>
    <t>Staudt-Kunfalvi</t>
  </si>
  <si>
    <t>Zsuzsa</t>
  </si>
  <si>
    <t>Zsuzsa-Galág-Rajkó</t>
  </si>
  <si>
    <t>VW</t>
  </si>
  <si>
    <t>PUU152</t>
  </si>
  <si>
    <t>Galág</t>
  </si>
  <si>
    <t>Rajkó</t>
  </si>
  <si>
    <t>Magyarázat:</t>
  </si>
  <si>
    <t>Munkanapló hiányzik!!!</t>
  </si>
  <si>
    <t>hétfő 04 .08.</t>
  </si>
  <si>
    <t>kedd 04. 09.</t>
  </si>
  <si>
    <t>szerda 04.10.</t>
  </si>
  <si>
    <t>csütörtök 04. 11.</t>
  </si>
  <si>
    <t>péntek 04. 12.</t>
  </si>
  <si>
    <t>szombat 13</t>
  </si>
  <si>
    <t>vasárnap 14</t>
  </si>
  <si>
    <t>GPS ellenőrzés</t>
  </si>
  <si>
    <t>109/11715-1008 Dújv  10</t>
  </si>
  <si>
    <t>100/1600-3006 Rácalmás</t>
  </si>
  <si>
    <t>109/11715-1006 Nvenyim 11</t>
  </si>
  <si>
    <t>100/1600-3005 Adony</t>
  </si>
  <si>
    <t>100/1608-661 Kulcs</t>
  </si>
  <si>
    <t>100/1600-3021 Dújváros</t>
  </si>
  <si>
    <t>109/11715-1005 Dújv 10</t>
  </si>
  <si>
    <t>100/1600-3016 Rácalmás 13</t>
  </si>
  <si>
    <t>109/11715-1007Nvenyim 10</t>
  </si>
  <si>
    <t>100/1608-649 Dújv</t>
  </si>
  <si>
    <t>100/1600-3020 Dújváros</t>
  </si>
  <si>
    <t>109/12098 Perkáta 11</t>
  </si>
  <si>
    <t>100/1600-2999  Tolna</t>
  </si>
  <si>
    <t>109/11861-376 Paks Ip.park</t>
  </si>
  <si>
    <t>100/1608-656 Tolna-Mözs</t>
  </si>
  <si>
    <t>109/11861-377 Paks Munk.10</t>
  </si>
  <si>
    <t>Galág - Tolnai</t>
  </si>
  <si>
    <t>100/1608-663 Dunaföldvár (du.)</t>
  </si>
  <si>
    <t>Paks Erőmű</t>
  </si>
  <si>
    <t>100/1601-1507 Siófok</t>
  </si>
  <si>
    <t>100/1601-1509  Ságvár</t>
  </si>
  <si>
    <t>100/1601-1500 B.szárszó</t>
  </si>
  <si>
    <t>100/1608-664 Sárbogárd  (1)</t>
  </si>
  <si>
    <t>100/1601-1508 Siófok</t>
  </si>
  <si>
    <t>100/1600-3023 Simontornya</t>
  </si>
  <si>
    <t>100/1601-1505 Siófok</t>
  </si>
  <si>
    <t xml:space="preserve">100/1608-665 Paks </t>
  </si>
  <si>
    <t>100/1608-652 Nagyszokoly</t>
  </si>
  <si>
    <t>100/1601-Balatonszabadi 9</t>
  </si>
  <si>
    <t>100/1601-1489 Siófok 13:00</t>
  </si>
  <si>
    <t>100/1608-671   Szd</t>
  </si>
  <si>
    <t>100/1608-653 Nagyszokoly</t>
  </si>
  <si>
    <t>100/1608-654 Nagyszokoly</t>
  </si>
  <si>
    <t>100/1608-629  Fadd</t>
  </si>
  <si>
    <t xml:space="preserve">Staudt </t>
  </si>
  <si>
    <t>Staudt-Klieber</t>
  </si>
  <si>
    <t>109/11861-369 Pincehely</t>
  </si>
  <si>
    <t>109/12103  Paks</t>
  </si>
  <si>
    <t>100/1608- Váralja</t>
  </si>
  <si>
    <t>113/10058 utólagos TECHNO</t>
  </si>
  <si>
    <t>109/11861-370 Simontornya</t>
  </si>
  <si>
    <t>100/1600-3026  Várdomb 8</t>
  </si>
  <si>
    <t>100/1608-659  Máza 8:30</t>
  </si>
  <si>
    <t>109/11861-371 Zomba</t>
  </si>
  <si>
    <t>109/11861-375 Fácánkert</t>
  </si>
  <si>
    <t>100/1608-658 Bonyhád</t>
  </si>
  <si>
    <t>100/1608-660  Máza 9:30</t>
  </si>
  <si>
    <t>109/11861-372   Tolnanémedi</t>
  </si>
  <si>
    <t>109/11861-374 fadd-Dombori</t>
  </si>
  <si>
    <t>100/1608-668 Fácánkert</t>
  </si>
  <si>
    <t>100/1608-662  Döbrököz</t>
  </si>
  <si>
    <t>109/11861-373   Tolnanémedi</t>
  </si>
  <si>
    <t>100/1608-669 Fácánkert</t>
  </si>
  <si>
    <t>Erős-Kunfalvi</t>
  </si>
  <si>
    <t>Erős - Staudt</t>
  </si>
  <si>
    <t xml:space="preserve"> </t>
  </si>
  <si>
    <t>Staudt</t>
  </si>
  <si>
    <t>100/1608-666 Sárszentlőrinc</t>
  </si>
  <si>
    <t>101  Baja cövek</t>
  </si>
  <si>
    <t>100/1608-670   Szd  8:00</t>
  </si>
  <si>
    <t>100/1608-667 Sárszentlőrinc</t>
  </si>
  <si>
    <t>100/1608-675 Sárszentlőrinc</t>
  </si>
  <si>
    <t>100/1608-665 Paks  12:00</t>
  </si>
  <si>
    <t xml:space="preserve">       Paks IpariPark 10:00</t>
  </si>
  <si>
    <t>100/1608-664 Sárbogárd  (du)</t>
  </si>
  <si>
    <t>100/1608-   Tolna</t>
  </si>
  <si>
    <t>Staudt-Pilisi</t>
  </si>
  <si>
    <t xml:space="preserve"> Kunfalvi</t>
  </si>
  <si>
    <t>Pilisi</t>
  </si>
  <si>
    <t>Jókai</t>
  </si>
  <si>
    <t>hétfő 04 .15.</t>
  </si>
  <si>
    <t>kedd 04. 16.</t>
  </si>
  <si>
    <t>szerda 04.17.</t>
  </si>
  <si>
    <t>csütörtök 04. 18.</t>
  </si>
  <si>
    <t>péntek 04. 19.</t>
  </si>
  <si>
    <t>szombat 20</t>
  </si>
  <si>
    <t>vasárnap 21</t>
  </si>
  <si>
    <t>100/1600-3028 Sárbogárd</t>
  </si>
  <si>
    <t>109/11715- 1016  Kocsola 10</t>
  </si>
  <si>
    <t>109/12091-3 Gyulaj</t>
  </si>
  <si>
    <t>100/1608-674 Tamási ipari park</t>
  </si>
  <si>
    <t>109/11715-1015 Döbrököz 13</t>
  </si>
  <si>
    <t>109/11715-1014 Kszekcső 10</t>
  </si>
  <si>
    <t>100/1608-655  Nagyszékely</t>
  </si>
  <si>
    <t>109/11715-1017 Dombóvár 13</t>
  </si>
  <si>
    <t>100/1608-525  Tamási   ?????</t>
  </si>
  <si>
    <t>109/11715-1009 Bonyhád 9</t>
  </si>
  <si>
    <t>100/1600-3024 Kulcs</t>
  </si>
  <si>
    <t>109/11715-1011 Bonyhád 12</t>
  </si>
  <si>
    <t>100/1600-3025  Kulcs</t>
  </si>
  <si>
    <t>109/11715-1010 Bonyhád 11</t>
  </si>
  <si>
    <t>109/11715-1012 Bonyhád 9</t>
  </si>
  <si>
    <t>109/12106   Paks 8</t>
  </si>
  <si>
    <t>100/1600-3013 Tolna</t>
  </si>
  <si>
    <t>100/1600-2991 Dújváros</t>
  </si>
  <si>
    <t>100/1600-3029 Bonyhádvarasd</t>
  </si>
  <si>
    <t>Jókai - Klieber</t>
  </si>
  <si>
    <t>Jókai - Klieber-Pilisi</t>
  </si>
  <si>
    <t>Jókai-Pilisi</t>
  </si>
  <si>
    <t>Gumi</t>
  </si>
  <si>
    <t>109/11715-1013 Bonyhád 11</t>
  </si>
  <si>
    <t>109/11715-1018 Mohács 10</t>
  </si>
  <si>
    <t>113/10058 utólagos  4db</t>
  </si>
  <si>
    <t>109/12104       Zamárdi</t>
  </si>
  <si>
    <t>100/1608-677 Fadd-dombori  (4)</t>
  </si>
  <si>
    <t>109/11715-1019 Mohács 12</t>
  </si>
  <si>
    <t>100/1608-678</t>
  </si>
  <si>
    <t>100/1608-659 Máza 10:00 (2)</t>
  </si>
  <si>
    <t>100/1600-3027  Báta 8</t>
  </si>
  <si>
    <t>100/1608-664-Sárbogárd (1)</t>
  </si>
  <si>
    <t>100/1608-660 Máza 10:30 (3)</t>
  </si>
  <si>
    <t>100/1608-671 Szekszárd</t>
  </si>
  <si>
    <t>100/1608-670 Szekszárd</t>
  </si>
  <si>
    <t>100/1608-665 Paks</t>
  </si>
  <si>
    <t>100/1600-3019 Hidas</t>
  </si>
  <si>
    <t>100-1600-3034 Darusztmiklós</t>
  </si>
  <si>
    <t>110/10087 Paks PSE 8</t>
  </si>
  <si>
    <t>109/11861-378-Szekszárd</t>
  </si>
  <si>
    <t>100/1600-3022 Sársztágota</t>
  </si>
  <si>
    <t>109/12091-3 Sárbogárd</t>
  </si>
  <si>
    <t>100/1606 Nagyvenyim üz</t>
  </si>
  <si>
    <t>Pilisi - Klieber</t>
  </si>
  <si>
    <t>Műszaki vizsga!</t>
  </si>
  <si>
    <t>Baja</t>
  </si>
  <si>
    <t>Dunaszetngyörgy</t>
  </si>
  <si>
    <t>Kulcsár L.</t>
  </si>
  <si>
    <t>Klieber</t>
  </si>
  <si>
    <t>2019-04-hétfő 22</t>
  </si>
  <si>
    <t>kedd 23</t>
  </si>
  <si>
    <t>szerda 24</t>
  </si>
  <si>
    <t>csütörtök 25</t>
  </si>
  <si>
    <t>péntek 26</t>
  </si>
  <si>
    <t>szombat 27</t>
  </si>
  <si>
    <t>vasárnap 28</t>
  </si>
  <si>
    <t>100/1600-3034 Darúsztmiklós</t>
  </si>
  <si>
    <t>109/11715-1022 Kulcs 11</t>
  </si>
  <si>
    <t>109/12091-3 SMHV</t>
  </si>
  <si>
    <t>109/11715-1020 Dújváros 11</t>
  </si>
  <si>
    <t>100/1600-3031 Kulcs</t>
  </si>
  <si>
    <t>Galág-Pilisi</t>
  </si>
  <si>
    <t>100/1601-1517 Tamási</t>
  </si>
  <si>
    <t>111/10008 Szalksztmárton</t>
  </si>
  <si>
    <t>109/11715-1023 Sáregres 10</t>
  </si>
  <si>
    <t>100/1601-1515 Siófok</t>
  </si>
  <si>
    <t>100/1600-3035 Szegyháza</t>
  </si>
  <si>
    <t>100/1600-3027 Báta</t>
  </si>
  <si>
    <t>100/1608-Váralja</t>
  </si>
  <si>
    <t>113/10058 utólagos</t>
  </si>
  <si>
    <t>100/1608-Sársztlőrinc</t>
  </si>
  <si>
    <t xml:space="preserve">                     Bátaszék</t>
  </si>
  <si>
    <t>Erős-Staudt-Balogh</t>
  </si>
  <si>
    <t xml:space="preserve">                            Paks PSE</t>
  </si>
  <si>
    <t>100/1599  Eon léges</t>
  </si>
  <si>
    <t>100/1642 Bácsalmás</t>
  </si>
  <si>
    <t>Iván Zs.</t>
  </si>
  <si>
    <t>Tolnai</t>
  </si>
  <si>
    <t>18. hét</t>
  </si>
  <si>
    <t>hétfő 04.29</t>
  </si>
  <si>
    <t>kedd 04.30</t>
  </si>
  <si>
    <t>szerda 05.01</t>
  </si>
  <si>
    <t>csütörtök 05.02</t>
  </si>
  <si>
    <t>péntek 05.03</t>
  </si>
  <si>
    <t>szombat 05.04</t>
  </si>
  <si>
    <t>vasárnap 05.05</t>
  </si>
  <si>
    <t>Magyarszék víztározó</t>
  </si>
  <si>
    <t>109/11715-1025 Pusztaszabolcs</t>
  </si>
  <si>
    <t>109/11715-1015 Döbrököz 12</t>
  </si>
  <si>
    <t>113/10060 utólagos</t>
  </si>
  <si>
    <t>109/11715-1026 Pusztaszabolcs</t>
  </si>
  <si>
    <t>109/11715-1016 Kocsola 9</t>
  </si>
  <si>
    <t>100/1600-3033 Kulcs</t>
  </si>
  <si>
    <t>100/1601-1518 Siófok</t>
  </si>
  <si>
    <t xml:space="preserve">109 Paks Fh </t>
  </si>
  <si>
    <t>100/1608-674 Tamási</t>
  </si>
  <si>
    <t>Galág-Klieber</t>
  </si>
  <si>
    <t>Kunfalvi-Tolnai</t>
  </si>
  <si>
    <t>109/11715-1024 Paks</t>
  </si>
  <si>
    <t>110/10087 Paks PSE</t>
  </si>
  <si>
    <t xml:space="preserve">109/12110 Paks </t>
  </si>
  <si>
    <t>109/12107  Cece  8</t>
  </si>
  <si>
    <t>100/1600-3032 Kulcs</t>
  </si>
  <si>
    <t>100/1600-3037 Adony 9</t>
  </si>
  <si>
    <t>109/11861-379 Tolna 8</t>
  </si>
  <si>
    <t>109/12108  Sárbogárd</t>
  </si>
  <si>
    <t>100/1599 Bátaszék 7:45</t>
  </si>
  <si>
    <t>100/1608-543 Dunaújv Farkas 11:00</t>
  </si>
  <si>
    <t>109/11861-380 Fadd-Domb. 9</t>
  </si>
  <si>
    <t>100/1608-Sárszentlőrinc</t>
  </si>
  <si>
    <t>100/1600-3036 Dunaújváros</t>
  </si>
  <si>
    <t>109/11861-381 Fadd   10</t>
  </si>
  <si>
    <t xml:space="preserve">Erős-Kunfalvi </t>
  </si>
  <si>
    <t>Erős-Kunfalvi-Pilisi</t>
  </si>
  <si>
    <t>Pilisi-Ritter</t>
  </si>
  <si>
    <t>100/1601-1516  Zamárdi 10</t>
  </si>
  <si>
    <t>Suzuki</t>
  </si>
  <si>
    <t>Szabadság</t>
  </si>
  <si>
    <t>Jókai Erős Galág</t>
  </si>
  <si>
    <t>Beteg</t>
  </si>
  <si>
    <t>munka stornó</t>
  </si>
  <si>
    <t>19. hét</t>
  </si>
  <si>
    <t>hétfő 05.06</t>
  </si>
  <si>
    <t>kedd 05.07</t>
  </si>
  <si>
    <t>szerda 05.08</t>
  </si>
  <si>
    <t>csütörtök 05.09</t>
  </si>
  <si>
    <t>péntek 05.10</t>
  </si>
  <si>
    <t>szombat 05.11</t>
  </si>
  <si>
    <t>vasárnap 05.12</t>
  </si>
  <si>
    <t>100/1600-3038 Sárbogárd</t>
  </si>
  <si>
    <t>109/11715-987 Rácalmás 13</t>
  </si>
  <si>
    <t>109/11715-1028 Szálka 10</t>
  </si>
  <si>
    <t>109/11715-1029 Tolna  12</t>
  </si>
  <si>
    <t>100/1600-3039  Sárosd</t>
  </si>
  <si>
    <t>100/1599-2-35 Eon léges</t>
  </si>
  <si>
    <t>109/11861-386 Szeksz.  8</t>
  </si>
  <si>
    <t>109/11715-1030 Nagymányok 9</t>
  </si>
  <si>
    <t>100/1600-2983 Dunaföldvár</t>
  </si>
  <si>
    <t>100/1600-3040 Aparhant</t>
  </si>
  <si>
    <t>113/10060 utólagos Györe</t>
  </si>
  <si>
    <t>szerviz ? Sárga lámpa</t>
  </si>
  <si>
    <t>100/1600-2965 Dunaújváros</t>
  </si>
  <si>
    <t>100/1600-3030  Kulcs</t>
  </si>
  <si>
    <t>109/11861-383 Dsztgyörgy 8</t>
  </si>
  <si>
    <t>100/1600-   ?    Kulcs</t>
  </si>
  <si>
    <t>109/11861-384 Paks 10</t>
  </si>
  <si>
    <t xml:space="preserve">       Darusztmiklós</t>
  </si>
  <si>
    <t>109/11861-385 Paks 10</t>
  </si>
  <si>
    <t>100/1600-3030 Kulcs</t>
  </si>
  <si>
    <t>Jókai Pilisi</t>
  </si>
  <si>
    <t>Jókai Pilisi Tolnai</t>
  </si>
  <si>
    <t>Jókai Erős Kunfalvi</t>
  </si>
  <si>
    <t>Jókai- Kunfalvi</t>
  </si>
  <si>
    <t>Jókai-Balogh</t>
  </si>
  <si>
    <t>100/1608-684 Nagyvenyim</t>
  </si>
  <si>
    <t>109/12105   Szálka 8</t>
  </si>
  <si>
    <t>111/10010 Dunaföldvár</t>
  </si>
  <si>
    <t>113/10060 utólagos Sárbogárd (1)</t>
  </si>
  <si>
    <t>Szekszárd Kajak 8:00</t>
  </si>
  <si>
    <t>100/1600-2966 Szd</t>
  </si>
  <si>
    <t>100/1608-669 Fácánkert 11:00</t>
  </si>
  <si>
    <t>100/1608-661 Kulcs (2)  11:30 kb</t>
  </si>
  <si>
    <t>100/1608-683 Nagyvenyim</t>
  </si>
  <si>
    <t>100/1608-610 Bátaszék</t>
  </si>
  <si>
    <t>100/1608-676 Dunaújváros</t>
  </si>
  <si>
    <t>100/1608-580 Bölcske</t>
  </si>
  <si>
    <t>100/1608-695 Bölcske</t>
  </si>
  <si>
    <t>100/1608-543 Dunaújváros</t>
  </si>
  <si>
    <t>Erős</t>
  </si>
  <si>
    <t>100/1600-3043 Kajdacs 10</t>
  </si>
  <si>
    <t>100/1608-686   Tamási</t>
  </si>
  <si>
    <t>109/12111 Balatonöszöd</t>
  </si>
  <si>
    <t>100/1608-</t>
  </si>
  <si>
    <t>109/11715-1027 Kulcs 14</t>
  </si>
  <si>
    <t>100/1600-3001 Hőgyész  9</t>
  </si>
  <si>
    <t>100/1601-1489 Siófok</t>
  </si>
  <si>
    <t>Szekszárd kitűzés Remete 7:45</t>
  </si>
  <si>
    <t>100/1608-685 Regöly</t>
  </si>
  <si>
    <t>100/1600-3044 Fácánkert 9</t>
  </si>
  <si>
    <t>100/1608-687 Nagykónyi</t>
  </si>
  <si>
    <t>Balogh-Klieber</t>
  </si>
  <si>
    <t>Balogh-Pilisi</t>
  </si>
  <si>
    <t>Klieber  Tolnai</t>
  </si>
  <si>
    <t>20. hét</t>
  </si>
  <si>
    <t>hétfő 05.13</t>
  </si>
  <si>
    <t>kedd 05.14</t>
  </si>
  <si>
    <t>szerda 05.15</t>
  </si>
  <si>
    <t>csütörtök 05.16</t>
  </si>
  <si>
    <t>péntek 05.17</t>
  </si>
  <si>
    <t>szombat 05.18</t>
  </si>
  <si>
    <t>vasárnap 05.19</t>
  </si>
  <si>
    <t>100/1601-1522 Nagyszokoly 11</t>
  </si>
  <si>
    <t>109/11715-1032 Dombóvár 9</t>
  </si>
  <si>
    <t xml:space="preserve">100/1601-1518 Siófok </t>
  </si>
  <si>
    <t>eső</t>
  </si>
  <si>
    <t>100/1601-1528 Bföldvár</t>
  </si>
  <si>
    <t>100/1601-1520 Siófok</t>
  </si>
  <si>
    <t>100/1600-1480 Siófok</t>
  </si>
  <si>
    <t>100/1601-1527 Regöly</t>
  </si>
  <si>
    <t>100/1608-685  Regöly ?</t>
  </si>
  <si>
    <t>Balogh-Tolnai</t>
  </si>
  <si>
    <t>100-1600-3030 Kulcs</t>
  </si>
  <si>
    <t>100/1608-688  Iregszemcse</t>
  </si>
  <si>
    <t>109/12115   Bátaapáti</t>
  </si>
  <si>
    <t>100/1608-689  Iregszemcse</t>
  </si>
  <si>
    <t>100/1608-696 Tamási</t>
  </si>
  <si>
    <t>Paks, Anna u. földkábel (100m)</t>
  </si>
  <si>
    <t>100/1608-691 Tolnanémedi</t>
  </si>
  <si>
    <r>
      <t>Jókai Klieber-</t>
    </r>
    <r>
      <rPr>
        <sz val="10"/>
        <color rgb="FFFF0000"/>
        <rFont val="Arial"/>
        <family val="2"/>
        <charset val="238"/>
      </rPr>
      <t>oltás7:45</t>
    </r>
  </si>
  <si>
    <t xml:space="preserve">Jókai - Klieber-Tolnai </t>
  </si>
  <si>
    <t>Jókai Klieber</t>
  </si>
  <si>
    <t>Galág-Jókai</t>
  </si>
  <si>
    <t>Jókai-Galág</t>
  </si>
  <si>
    <t>109/12110 Paks</t>
  </si>
  <si>
    <t>100/1600-3045 Dunaújváros</t>
  </si>
  <si>
    <t>100/1608-690 Pincehely</t>
  </si>
  <si>
    <t>109/11861-387 Szekszárd 8</t>
  </si>
  <si>
    <t>109/12112    Sárosd 9:30</t>
  </si>
  <si>
    <t>100/1608-693 Szakály</t>
  </si>
  <si>
    <t>109/11715-1035 Várdomb 9</t>
  </si>
  <si>
    <t>109/12091-3 Paks</t>
  </si>
  <si>
    <t>109/*12107 Cece</t>
  </si>
  <si>
    <t>100/1608-692 Tamási</t>
  </si>
  <si>
    <t>113/10060  utólagos</t>
  </si>
  <si>
    <t>100/1608-454 Fácánkert 8:00</t>
  </si>
  <si>
    <t>100/1608-694 Hőgyész</t>
  </si>
  <si>
    <t>109/11861-390 Szekszárd  8</t>
  </si>
  <si>
    <t>100/1600-3047 Kisapostag</t>
  </si>
  <si>
    <t>109/11715-1033 Bonyhád 8</t>
  </si>
  <si>
    <t>GINOP továbbképzés</t>
  </si>
  <si>
    <t>Galágh-Pilisi</t>
  </si>
  <si>
    <t>Távollét</t>
  </si>
  <si>
    <t>Klieber-Pilisi oktatás</t>
  </si>
  <si>
    <t>21. hét</t>
  </si>
  <si>
    <t>hétfő 05.20</t>
  </si>
  <si>
    <t>kedd 05.21</t>
  </si>
  <si>
    <t>szerda 05.22</t>
  </si>
  <si>
    <t>csütörtök 05.23</t>
  </si>
  <si>
    <t>péntek 05.24</t>
  </si>
  <si>
    <t>szombat 05.25</t>
  </si>
  <si>
    <t>vasárnap 05.26</t>
  </si>
  <si>
    <t>100/1638 Magyarszék</t>
  </si>
  <si>
    <t>100/1600-3042 Györköny</t>
  </si>
  <si>
    <t>109/11715-1044 Dszekcső  11</t>
  </si>
  <si>
    <t>109/11715-1045 Hháza  12</t>
  </si>
  <si>
    <t>100/1600-3046  Bonyhád</t>
  </si>
  <si>
    <t xml:space="preserve">109/11861-393 Szekszárd   </t>
  </si>
  <si>
    <t>109/11861-378 Szekszárd</t>
  </si>
  <si>
    <t>109/11861-388 Szekszárd</t>
  </si>
  <si>
    <t>109/11861-392 Szekszárd</t>
  </si>
  <si>
    <t>109/11861-391 Szekszárd</t>
  </si>
  <si>
    <t>109/11861-390 Szekszárd</t>
  </si>
  <si>
    <t>109/11861-394 Szekszárd 8</t>
  </si>
  <si>
    <t>109/11861-395 Szekszárd  10</t>
  </si>
  <si>
    <t>110/10113 Darúszentmiklós</t>
  </si>
  <si>
    <t>100/1601-1480 Siófok</t>
  </si>
  <si>
    <t>109/12118 Paks 13</t>
  </si>
  <si>
    <t>113/10061 Szd  8:00</t>
  </si>
  <si>
    <t>109/11715-1040 Paks 9</t>
  </si>
  <si>
    <t>109/12113 Dsztgyörgy</t>
  </si>
  <si>
    <t>100/1601-1528 Siófok 10</t>
  </si>
  <si>
    <t>100/1601-1528 Siófok ?</t>
  </si>
  <si>
    <t>109/11715-1028 Szálka  10</t>
  </si>
  <si>
    <t>109/11715-1041 Paks  9</t>
  </si>
  <si>
    <t>100/1600-3041 Decs</t>
  </si>
  <si>
    <t>109/12116 Dunaföldvár</t>
  </si>
  <si>
    <t>109/11715-1036 Szálka  12</t>
  </si>
  <si>
    <t>109/11715-1042 Paks  11</t>
  </si>
  <si>
    <t>109/12114 Bátaszék</t>
  </si>
  <si>
    <t>109/11715-1039 Dunaújváros 10</t>
  </si>
  <si>
    <t>113/10060  utólagos 7db</t>
  </si>
  <si>
    <t>109/12112 Sárosd 11</t>
  </si>
  <si>
    <t>109/11715-1043 Paks  13</t>
  </si>
  <si>
    <t>100/1608-699 Dunaújváros 14</t>
  </si>
  <si>
    <t>100/1608-704 Szekszárd</t>
  </si>
  <si>
    <t>109/12091-4 SMHV</t>
  </si>
  <si>
    <t>100/1608-688 Iregszemcse</t>
  </si>
  <si>
    <t>109/12091-4</t>
  </si>
  <si>
    <t>109/12109 Paks</t>
  </si>
  <si>
    <t>109/12109 Paks Anna</t>
  </si>
  <si>
    <t>100/1608-689 Iregszemcse</t>
  </si>
  <si>
    <t>Erős- Tolnai</t>
  </si>
  <si>
    <t>Erős- Kunfalvi</t>
  </si>
  <si>
    <t>Galág-Kunfalvi</t>
  </si>
  <si>
    <t>100/1634 OKTM kitűzés</t>
  </si>
  <si>
    <t>Bátaszék, Szekszárd, Medina</t>
  </si>
  <si>
    <t>109/11715-1037 Rácalmás  9</t>
  </si>
  <si>
    <t>109/11715 Nagyvenyim  10</t>
  </si>
  <si>
    <t>100/1601-1529 Köröshegy</t>
  </si>
  <si>
    <t>IRM továbbképzés</t>
  </si>
  <si>
    <t>109/11715-1038 Besnyő  12</t>
  </si>
  <si>
    <t>109/12102 Paks</t>
  </si>
  <si>
    <t>100/1601-1527 Tamási</t>
  </si>
  <si>
    <t>100/1608-697 Dunaújváros 14</t>
  </si>
  <si>
    <t>100/1608-698 Dunaújváros 14</t>
  </si>
  <si>
    <t>100/1601-1482 Tamási 9</t>
  </si>
  <si>
    <t>Erős J.</t>
  </si>
  <si>
    <t>100/1600-3038 Sárbogárd 11</t>
  </si>
  <si>
    <t>Kulcsár L</t>
  </si>
  <si>
    <t>Erős J. IRM továbbképzés</t>
  </si>
  <si>
    <t>Összesen :</t>
  </si>
  <si>
    <t>22. hét</t>
  </si>
  <si>
    <t xml:space="preserve"> hétfő 05.27</t>
  </si>
  <si>
    <t>kedd 05.28</t>
  </si>
  <si>
    <t>szerda 05.29</t>
  </si>
  <si>
    <t>csütörtök 05.30</t>
  </si>
  <si>
    <t>péntek 05.31</t>
  </si>
  <si>
    <t>szombat 06.01</t>
  </si>
  <si>
    <t>vasárnap 06.02</t>
  </si>
  <si>
    <t>májusban</t>
  </si>
  <si>
    <t xml:space="preserve">100/1638  Magyarszék </t>
  </si>
  <si>
    <t>109/11715-1011 Bonyhád  12</t>
  </si>
  <si>
    <t>100/1600-3046 Bonyhád</t>
  </si>
  <si>
    <t>109/11861-398 Szekszárd  8</t>
  </si>
  <si>
    <t>109/11861-399 Fadd-Dombori  12</t>
  </si>
  <si>
    <t>ERŐMŰ</t>
  </si>
  <si>
    <t>Paks bazársor és orvosi rendelő</t>
  </si>
  <si>
    <t>100/1601-1531 Koppányszántó</t>
  </si>
  <si>
    <t>szkenneres felmérése</t>
  </si>
  <si>
    <t>100/1608-709 Szakály</t>
  </si>
  <si>
    <t>100/1601-1482 Tamási</t>
  </si>
  <si>
    <t>Jókai-Steinbach</t>
  </si>
  <si>
    <t>Jókai-Hajpál</t>
  </si>
  <si>
    <t>109/12106 Paks Ősz</t>
  </si>
  <si>
    <t>109/11715-1050 Fadd  9</t>
  </si>
  <si>
    <t>100/1601-1528 Balatonföldvár</t>
  </si>
  <si>
    <t>100/1600-3008 Nagydorog 8</t>
  </si>
  <si>
    <t>109/11715-1049 Nagyvenyim  9</t>
  </si>
  <si>
    <t>100/1608-606  Sárbogárd ?</t>
  </si>
  <si>
    <t>100/1608-708 Fácánkert</t>
  </si>
  <si>
    <t>100/1608-705 Szekszárd</t>
  </si>
  <si>
    <t>100/1601-1517 Tamási SOS</t>
  </si>
  <si>
    <t>Erős-Klieber</t>
  </si>
  <si>
    <t>100/1608-701 Dunaújváros ???</t>
  </si>
  <si>
    <t>100/1600-3049 Hantos</t>
  </si>
  <si>
    <t>100/12091-4 SMHV</t>
  </si>
  <si>
    <t>100/1608-707 Dunaújváros 8:15</t>
  </si>
  <si>
    <t>100/1608-700 Dunaújváros 14</t>
  </si>
  <si>
    <t>Balatonalmádi</t>
  </si>
  <si>
    <t>109/11715-1047 Rácalmás  13</t>
  </si>
  <si>
    <t>100/11715-1046 Baracs  9</t>
  </si>
  <si>
    <t xml:space="preserve">109/11715-1055 Bölcske </t>
  </si>
  <si>
    <t>100/11715-1048 Baracs  11</t>
  </si>
  <si>
    <t>113/10062 Paks 8:00</t>
  </si>
  <si>
    <t>109/11861-396  Németkér 8</t>
  </si>
  <si>
    <t>109/11861-397 Németkér  10</t>
  </si>
  <si>
    <t>Villány</t>
  </si>
  <si>
    <t>Pilisi Kunfalvi</t>
  </si>
  <si>
    <t>Kunfalvi  Galág</t>
  </si>
  <si>
    <t>23. hét</t>
  </si>
  <si>
    <t>hétfő 06.03</t>
  </si>
  <si>
    <t>kedd 06.04</t>
  </si>
  <si>
    <t>szerda 06.05</t>
  </si>
  <si>
    <t>csütörtök 06.06</t>
  </si>
  <si>
    <t>péntek 06.07</t>
  </si>
  <si>
    <t>szombat 06.08</t>
  </si>
  <si>
    <t>vasárnap 06.09</t>
  </si>
  <si>
    <t>júniusban</t>
  </si>
  <si>
    <t>100/1600-3048 Dunaújváris</t>
  </si>
  <si>
    <t>109/11715-1062 Ófalu   9</t>
  </si>
  <si>
    <t>109/11715-892 Mohács  9</t>
  </si>
  <si>
    <t>109/11715-1052 Rácalmás  10</t>
  </si>
  <si>
    <t>109/11715-1063 Ófalu   10</t>
  </si>
  <si>
    <t>100/1608-710 Sióagárd</t>
  </si>
  <si>
    <t>100/1600-3050 Véménd</t>
  </si>
  <si>
    <t>109/11715-1061 Dunaújváros 12</t>
  </si>
  <si>
    <t>109/11861-  Szd 3db</t>
  </si>
  <si>
    <t>109/11861-                    Szd</t>
  </si>
  <si>
    <t>109/11715-1064 Rácalmás  13</t>
  </si>
  <si>
    <t>109/11861-402         Dombori</t>
  </si>
  <si>
    <t>109/11715-1060 Dunaföldvár 10</t>
  </si>
  <si>
    <t>Orvosi 7:45</t>
  </si>
  <si>
    <t>100/1608-705 Szekszárd   du.</t>
  </si>
  <si>
    <t>100/1608-711 Dunaföldvár</t>
  </si>
  <si>
    <t>109/11715-1051 Cece  10</t>
  </si>
  <si>
    <t>100/1600-3051  Cece</t>
  </si>
  <si>
    <t>100/1600-3052 Sárhatvan</t>
  </si>
  <si>
    <t>109/12113 Dunaszentgyörgy</t>
  </si>
  <si>
    <t>100/1600-3055 Dunaújváros</t>
  </si>
  <si>
    <t>100/1608-706 Tamási</t>
  </si>
  <si>
    <t>100/1600-3054 Nagyvenyim</t>
  </si>
  <si>
    <t>100/1600-3056 Dunaújváros</t>
  </si>
  <si>
    <t>100/1608-693  Szakály</t>
  </si>
  <si>
    <t>113/         Zomba</t>
  </si>
  <si>
    <t>100/1608-701 Dunaújváros 14:30</t>
  </si>
  <si>
    <t>100/1600-3048 Dunaújváros</t>
  </si>
  <si>
    <t>100/1600-3053 Dunaújváros 8:30</t>
  </si>
  <si>
    <t>109/11715-1057 Madocsa   11</t>
  </si>
  <si>
    <t>109/11715-1059 Nagyvenyim 10</t>
  </si>
  <si>
    <t>Scen</t>
  </si>
  <si>
    <t>109/11715-1053 Dunaföldvár 9</t>
  </si>
  <si>
    <t>109/11715-1054 Rácalmás 10</t>
  </si>
  <si>
    <t>109/11715-1058 Madocsa  12</t>
  </si>
  <si>
    <t>109/11715-1056 Sárosd 10</t>
  </si>
  <si>
    <t>100/1608-707 Dunaújváros 14:00</t>
  </si>
  <si>
    <t>109/12106 Paks Völgy</t>
  </si>
  <si>
    <t>109/11715-1065 Dunaföldvár 11</t>
  </si>
  <si>
    <t>100-11861-400 Szálka  12</t>
  </si>
  <si>
    <t>100/1608-701 Dunaújváros 8:30</t>
  </si>
  <si>
    <t>100/1600-3053 Dunaújváros</t>
  </si>
  <si>
    <t>100/1600-3035 Szabadegyháza</t>
  </si>
  <si>
    <t>113/10060    utólagos   6db</t>
  </si>
  <si>
    <t>109/11861-401 Gyönk 8</t>
  </si>
  <si>
    <t>100/1608-714 Bonyhád</t>
  </si>
  <si>
    <t>24. hét</t>
  </si>
  <si>
    <t>hétfő 06.10</t>
  </si>
  <si>
    <t>kedd 06.11</t>
  </si>
  <si>
    <t>szerda 06.12</t>
  </si>
  <si>
    <t>csütörtök 06.13</t>
  </si>
  <si>
    <t>péntek 06.14</t>
  </si>
  <si>
    <t>szombat 06.15</t>
  </si>
  <si>
    <t>vasárnap 06.16</t>
  </si>
  <si>
    <t>113/10063 Dunaújváros</t>
  </si>
  <si>
    <t>109/11715-1066 Dunaföldvár 10</t>
  </si>
  <si>
    <t>Sportnap</t>
  </si>
  <si>
    <t>109/11715-1067 Paks  9</t>
  </si>
  <si>
    <t>109/12120 Kulcs</t>
  </si>
  <si>
    <t>Balogh-Tolnai-Új</t>
  </si>
  <si>
    <t>100/1608-674  Tamási</t>
  </si>
  <si>
    <t>Erőmű</t>
  </si>
  <si>
    <t>100/1601-1535 Zamárdi</t>
  </si>
  <si>
    <t xml:space="preserve">       Darúszentmiklós  </t>
  </si>
  <si>
    <t>100/1601-1533 Tamási</t>
  </si>
  <si>
    <t>100/1600-3065 Kajdacs</t>
  </si>
  <si>
    <t>Jókai- Klieber</t>
  </si>
  <si>
    <t>109/12119 Mohács Fk kutatás 9</t>
  </si>
  <si>
    <t>100/1600-3060 Mohács</t>
  </si>
  <si>
    <t>100/1600-         Hantos</t>
  </si>
  <si>
    <t>109/11715-1068-Simontornya 10</t>
  </si>
  <si>
    <t>109/11715-1044 Dunaszekcső P</t>
  </si>
  <si>
    <t>Clió</t>
  </si>
  <si>
    <t>100/1601-1531 Tab</t>
  </si>
  <si>
    <t>100/1600-3059 Dunaszekcső</t>
  </si>
  <si>
    <t>RNB601</t>
  </si>
  <si>
    <t xml:space="preserve">100/1608-690 Pincehely  </t>
  </si>
  <si>
    <t>100/1601-1532 Balatonszárszó</t>
  </si>
  <si>
    <t>100/1601-1537 Siófok</t>
  </si>
  <si>
    <t>100/1601-1538 Zamárdi</t>
  </si>
  <si>
    <t>RNB602</t>
  </si>
  <si>
    <t>100/1601-1537-Zamárdi   1</t>
  </si>
  <si>
    <t>Balatonboglár 100/1643</t>
  </si>
  <si>
    <t>100/1601-1482-Tamási  2</t>
  </si>
  <si>
    <t>100/1608-690 Pincehely   3</t>
  </si>
  <si>
    <t>Pilisi-Klieber</t>
  </si>
  <si>
    <t>Iván Zsuzsa</t>
  </si>
  <si>
    <t>25. hét</t>
  </si>
  <si>
    <t>hétfő 06.17</t>
  </si>
  <si>
    <t>kedd 06.18</t>
  </si>
  <si>
    <t>szerda 06.19</t>
  </si>
  <si>
    <t>csütörtök 06.20</t>
  </si>
  <si>
    <t>péntek 06.21</t>
  </si>
  <si>
    <t>szombat 06.22</t>
  </si>
  <si>
    <t>vasárnap 06.23</t>
  </si>
  <si>
    <t>100/1601-1447 Döbrököz</t>
  </si>
  <si>
    <t>100/1601-1536 Zamárdi</t>
  </si>
  <si>
    <t>100/1601-1543 Iregszemcse</t>
  </si>
  <si>
    <t>100/1601-1547 Siófok 10</t>
  </si>
  <si>
    <t>109/12108 Sárbogárd</t>
  </si>
  <si>
    <t>Balogh-Újváry-Klieber</t>
  </si>
  <si>
    <t>Balogh-Újváry</t>
  </si>
  <si>
    <t>100/1600-3062 Kulcs</t>
  </si>
  <si>
    <t>100/1600-3066 Dunaújváros</t>
  </si>
  <si>
    <t>100/1600-3063 Dunaújváros</t>
  </si>
  <si>
    <t>100/1600-3061 Szekszárd 8</t>
  </si>
  <si>
    <t>100/1601-1539 Ádánd</t>
  </si>
  <si>
    <t>109/12122 Nagymányok</t>
  </si>
  <si>
    <t>100/1600-3070 Simontornya 9</t>
  </si>
  <si>
    <t>113/10063  Dunaújváros</t>
  </si>
  <si>
    <t>100/1600-3058 Szekszárd</t>
  </si>
  <si>
    <t>100/1600-1541 Siófok</t>
  </si>
  <si>
    <t>109/11861-404 Szekszárd  9</t>
  </si>
  <si>
    <t xml:space="preserve">                       Hőgyész</t>
  </si>
  <si>
    <t>100/1600-3015 Szd</t>
  </si>
  <si>
    <t>100/1601-1471 Pincehely</t>
  </si>
  <si>
    <t>113/10060 utólagos 1db Dújv</t>
  </si>
  <si>
    <t>109/12106 Paks</t>
  </si>
  <si>
    <t>100/11861-403 Szekszárd</t>
  </si>
  <si>
    <t>109/11715-1069 Dunaföldvár 10</t>
  </si>
  <si>
    <t>109/11715-1070 Paks 10</t>
  </si>
  <si>
    <t>109/11715-1051 Cece 12</t>
  </si>
  <si>
    <t>109/11715-1072 Paks 10</t>
  </si>
  <si>
    <t>109/11715-1071 Paks 12</t>
  </si>
  <si>
    <t>109/11715-1073 Paks 12</t>
  </si>
  <si>
    <t>109/11715-1074 Kulcs  11</t>
  </si>
  <si>
    <t>109/11715-986 Rácalmás 10</t>
  </si>
  <si>
    <t>109/11715-1075 Alap  9</t>
  </si>
  <si>
    <t>109/11715-1076 Sárbogárd</t>
  </si>
  <si>
    <t>109/11715   Kitűzés 10 db</t>
  </si>
  <si>
    <t>100/1601-1540 Siófok</t>
  </si>
  <si>
    <t>109/11715     Bemérés</t>
  </si>
  <si>
    <t>100/1600-3057 Dunaújváros</t>
  </si>
  <si>
    <t>100/1600-3064 Dunaújváros</t>
  </si>
  <si>
    <t>109/11861-405 Szekszárd</t>
  </si>
  <si>
    <t>109/11715-1080 Bonyhád</t>
  </si>
  <si>
    <t>100/1600-3056 Dújv</t>
  </si>
  <si>
    <t>RNB-601</t>
  </si>
  <si>
    <t>100/166-3055 Dújv</t>
  </si>
  <si>
    <t>Scan</t>
  </si>
  <si>
    <t>Jókai-Kulcsár</t>
  </si>
  <si>
    <t>Újváry</t>
  </si>
  <si>
    <t>Galág Újváry</t>
  </si>
  <si>
    <t>26. hét</t>
  </si>
  <si>
    <t>hétfő 06.24</t>
  </si>
  <si>
    <t>kedd 06.25</t>
  </si>
  <si>
    <t>szerda 06.26</t>
  </si>
  <si>
    <t>csütörtök 06.27</t>
  </si>
  <si>
    <t>péntek 06.28</t>
  </si>
  <si>
    <t>szombat 06.29</t>
  </si>
  <si>
    <t>vasárnap 06.30</t>
  </si>
  <si>
    <t>100/1608-716 Szekszárd</t>
  </si>
  <si>
    <t>100/1662-1  Paks</t>
  </si>
  <si>
    <t>100/1601-1545 Siófok</t>
  </si>
  <si>
    <t>100/1652-1548 Ságvár</t>
  </si>
  <si>
    <t>100/1652-1549 Siófok</t>
  </si>
  <si>
    <t>100/1600-3067 Bátaszék</t>
  </si>
  <si>
    <t>100/1659-3072 dunaföldvár</t>
  </si>
  <si>
    <t>100/1652-1541 Siófok</t>
  </si>
  <si>
    <t>100/1600-2981 Dunaföldvár</t>
  </si>
  <si>
    <t>100/1662-2 Szekszárd</t>
  </si>
  <si>
    <t>100/1652-1542 Tamási</t>
  </si>
  <si>
    <t>100/1659-3077 Dunaföldvár</t>
  </si>
  <si>
    <t>100/1600-2994 Rácalmás</t>
  </si>
  <si>
    <t>100/1659-3076 Dunaújváros</t>
  </si>
  <si>
    <t>Clió-601</t>
  </si>
  <si>
    <t>100/1601-1543 Szántód</t>
  </si>
  <si>
    <t xml:space="preserve"> Pa Rt</t>
  </si>
  <si>
    <t>100/1659-3071 Bonyhád</t>
  </si>
  <si>
    <t>Szekszárd Sportcsarnok szkennelése</t>
  </si>
  <si>
    <t>Jókai-Klieber-Pilisi</t>
  </si>
  <si>
    <t>100/1601-1539  Ádánd</t>
  </si>
  <si>
    <t>100/1600-3068 Alsószentiván</t>
  </si>
  <si>
    <t>100/1659-3064 Dunaújváros</t>
  </si>
  <si>
    <t>100/1662-3  Dunaújváros</t>
  </si>
  <si>
    <t>100/1659-3075 Sárbogárd</t>
  </si>
  <si>
    <t>100/1608-697-701 Dunaújváros</t>
  </si>
  <si>
    <t>109/12102 Dunakömlöd</t>
  </si>
  <si>
    <t>100/1662-4  Dunaújváros</t>
  </si>
  <si>
    <t>100/1608-707 Dunaújváros</t>
  </si>
  <si>
    <t>1113/10065  Paks 8:00</t>
  </si>
  <si>
    <t>113/10065 Dunaújváros</t>
  </si>
  <si>
    <t>100/1659-3083 Kulcs</t>
  </si>
  <si>
    <t>100/1659-3062 Kulcs</t>
  </si>
  <si>
    <t>109/11715-978 Dunaföldvár 10</t>
  </si>
  <si>
    <t>109/11715-1078 Hidas 9</t>
  </si>
  <si>
    <t>109/11861-407 Szekszárd 8</t>
  </si>
  <si>
    <t>109/11715-1082 Nagyvenyim 12</t>
  </si>
  <si>
    <t>109/11715-1053 Dfvár 9</t>
  </si>
  <si>
    <t>109/11715-1081 Paks 9</t>
  </si>
  <si>
    <t>109/11715-1079  Szakadát 11</t>
  </si>
  <si>
    <t>109/11715-1085 Gerjen 11</t>
  </si>
  <si>
    <t>109/11715-1083 Szakály 9</t>
  </si>
  <si>
    <t>109/11715-1084 Dfvár 12</t>
  </si>
  <si>
    <t>109/11861-406 Szekszárd 8</t>
  </si>
  <si>
    <t>109/11715-1057 Madocsa 13</t>
  </si>
  <si>
    <t>109/11715-1077 Dunaszekcső</t>
  </si>
  <si>
    <t>109/11715-1086 Szálka 9</t>
  </si>
  <si>
    <t>109/11715  SMHV kitűzés</t>
  </si>
  <si>
    <t>100/1659-3069 Szd</t>
  </si>
  <si>
    <t>109/11715 SMHV Bemérés</t>
  </si>
  <si>
    <t>100/1659-3073 Szd</t>
  </si>
  <si>
    <t>109/12091 SMHV bemérés</t>
  </si>
  <si>
    <t>109/11861 Köz bemérés</t>
  </si>
  <si>
    <t>LSX-504</t>
  </si>
  <si>
    <t>Galág-Galág-Pilisi</t>
  </si>
  <si>
    <t>Galág-Galág</t>
  </si>
  <si>
    <t>Zsuzsa, Baka</t>
  </si>
  <si>
    <t>27. hét</t>
  </si>
  <si>
    <t>hétfő 07.01</t>
  </si>
  <si>
    <t>kedd 07.02</t>
  </si>
  <si>
    <t>szerda 07.03</t>
  </si>
  <si>
    <t>csütörtök 07.04</t>
  </si>
  <si>
    <t>péntek 07.05</t>
  </si>
  <si>
    <t>szombat 07.06</t>
  </si>
  <si>
    <t>vasárnap 07.07</t>
  </si>
  <si>
    <t>július</t>
  </si>
  <si>
    <t>Balogh-</t>
  </si>
  <si>
    <t>Szekszárd Sportcsarnok szken</t>
  </si>
  <si>
    <t>PSE pálya kitűzés</t>
  </si>
  <si>
    <t>10/1600-2997 Cikó 8 órára</t>
  </si>
  <si>
    <t>100/1601-1472 Köröshegy</t>
  </si>
  <si>
    <t>100/1659-3086 Kismányok</t>
  </si>
  <si>
    <t>100/1959-3082 Paks</t>
  </si>
  <si>
    <t>---------</t>
  </si>
  <si>
    <t>100/1659-3080 Dunaújváros 9</t>
  </si>
  <si>
    <t>113/10067 Dunaújváros</t>
  </si>
  <si>
    <t xml:space="preserve">113/10066  Székesfehérvár </t>
  </si>
  <si>
    <t>113/10066  Székesfehérvár</t>
  </si>
  <si>
    <t>100/1661 Dujv</t>
  </si>
  <si>
    <t>100/1600 Dujv környéke</t>
  </si>
  <si>
    <t>100/1600-3075 Sárbogárd</t>
  </si>
  <si>
    <t>109/12123 Mezőfalva 1/2 9</t>
  </si>
  <si>
    <t>100/1659-3078 Bölcske</t>
  </si>
  <si>
    <t>109/12124 Simontornya</t>
  </si>
  <si>
    <t>109/12125 Paks 8-12/9</t>
  </si>
  <si>
    <t>100/1659-1545 Siófok</t>
  </si>
  <si>
    <t>100/1659-3087 Baracs ?</t>
  </si>
  <si>
    <t>-----</t>
  </si>
  <si>
    <t>109/11715 SMHV</t>
  </si>
  <si>
    <t>100/1652-1550 Iregszemcse</t>
  </si>
  <si>
    <t>109/11861 Köz Bemérés</t>
  </si>
  <si>
    <t xml:space="preserve">109/12091 SMHV </t>
  </si>
  <si>
    <t>109/12091 SMHV Bemérés</t>
  </si>
  <si>
    <t>109/12091 SMHV</t>
  </si>
  <si>
    <t>Galág-Kunfalvi-Galág</t>
  </si>
  <si>
    <t>Galág-Galág-Kunfalvi</t>
  </si>
  <si>
    <t>Galág-Galág-Klieber</t>
  </si>
  <si>
    <t>109/11715-1087 Medina 11</t>
  </si>
  <si>
    <t>109/11715-1069 Dfvár 10</t>
  </si>
  <si>
    <t>109/11715-1094 Baracs 9</t>
  </si>
  <si>
    <t>109/11715-1089 Paks 10</t>
  </si>
  <si>
    <t>109/11715-1090 Paks 10</t>
  </si>
  <si>
    <t>109/11715-1088 Tolna 12</t>
  </si>
  <si>
    <t>109/11715-1092 Perkáta 13</t>
  </si>
  <si>
    <t>109/11715-1095 Kisapostag 10</t>
  </si>
  <si>
    <t>109/11715-1097 Pszabolcs 10</t>
  </si>
  <si>
    <t>109/11715-1091 Paks 12</t>
  </si>
  <si>
    <t>tervezett</t>
  </si>
  <si>
    <t>109/11715-1093 Dújváros 11</t>
  </si>
  <si>
    <t>109/11715-1098 Pszbolcs 13</t>
  </si>
  <si>
    <t>109/11715-1096 Kulcs 13</t>
  </si>
  <si>
    <t>109/11715-1099 Pszabolcs 11</t>
  </si>
  <si>
    <t>109-11715--1100 Sárszágota 13</t>
  </si>
  <si>
    <t>109/11715-1100 Sársztágota 13</t>
  </si>
  <si>
    <t>28. hét</t>
  </si>
  <si>
    <t>hétfő 07.08</t>
  </si>
  <si>
    <t>kedd 07.09</t>
  </si>
  <si>
    <t>szerda 07.10</t>
  </si>
  <si>
    <t>csütörtök 07.11</t>
  </si>
  <si>
    <t>péntek 07.12</t>
  </si>
  <si>
    <t>szombat 07.13</t>
  </si>
  <si>
    <t>vasárnap 07.14</t>
  </si>
  <si>
    <t>100/1652-1551 Tab</t>
  </si>
  <si>
    <t>100/1659-3089 Véménd</t>
  </si>
  <si>
    <t>100/1659-3088 Dunaújváros</t>
  </si>
  <si>
    <t>100/1659-3092 Sárkeresztúr</t>
  </si>
  <si>
    <t>100/1659-3090 Véménd</t>
  </si>
  <si>
    <t>Jókai-Klieber-Balogh</t>
  </si>
  <si>
    <t>100/1659-3081 Tolna</t>
  </si>
  <si>
    <t>100/1608-512 Döbrököz</t>
  </si>
  <si>
    <t>109/11715-1111   Bonyhád 8</t>
  </si>
  <si>
    <t>100/1659-3085 Rácalmás</t>
  </si>
  <si>
    <t>113/10068 TECHNO utólagos</t>
  </si>
  <si>
    <t>100/1600-3039 Sárosd</t>
  </si>
  <si>
    <t>100/1600-3044 Fácánkert</t>
  </si>
  <si>
    <t>109/12126 Paks</t>
  </si>
  <si>
    <t>15+1 db kitűzés</t>
  </si>
  <si>
    <t>109/11861-403 Szekszárd</t>
  </si>
  <si>
    <t>Erős-Galág2</t>
  </si>
  <si>
    <t>Erős-Galág2-Galág</t>
  </si>
  <si>
    <t>100/1659-3057 Dunaújváros</t>
  </si>
  <si>
    <t>100/1659-3074 Dunaújváros</t>
  </si>
  <si>
    <t>100/1601-1492 Andocs</t>
  </si>
  <si>
    <t>100/1601-1522 Nagyszokoly</t>
  </si>
  <si>
    <t>109/11715-1101 Paks 10</t>
  </si>
  <si>
    <t>109/11715-1102 Zomba 12</t>
  </si>
  <si>
    <t>109/11715-1103 Mohács 9</t>
  </si>
  <si>
    <t>109/11715-1085 Gerjen 13</t>
  </si>
  <si>
    <t>109/11715-1057 Madocsa 9</t>
  </si>
  <si>
    <t>109/11715-1109 Felsőnána 13</t>
  </si>
  <si>
    <t>109/11861-408 Paks 9</t>
  </si>
  <si>
    <t>109/11715-1073 Paks 13</t>
  </si>
  <si>
    <t>109/11715 SMHV bemérés</t>
  </si>
  <si>
    <t>109/12109 Paks 10</t>
  </si>
  <si>
    <t>109/11861 Paks 9</t>
  </si>
  <si>
    <t>Kunfalvi, Galág</t>
  </si>
  <si>
    <t>Kunfalvi, Újváry</t>
  </si>
  <si>
    <t>Zsuzsa, Kunfalvi, Erika</t>
  </si>
  <si>
    <t>29. hét</t>
  </si>
  <si>
    <t>hétfő 07.15</t>
  </si>
  <si>
    <t>kedd 07.16</t>
  </si>
  <si>
    <t>szerda 07.17</t>
  </si>
  <si>
    <t>csütörtök 07.18</t>
  </si>
  <si>
    <t>péntek 07.19</t>
  </si>
  <si>
    <t>szombat 07.20</t>
  </si>
  <si>
    <t>vasárnap 07.21</t>
  </si>
  <si>
    <t>100/1662-6 Zomba gázvez kitűzés</t>
  </si>
  <si>
    <t>terepjáró kell</t>
  </si>
  <si>
    <t>100/1658 léges</t>
  </si>
  <si>
    <t>Balogh-Pilisi-Újváry</t>
  </si>
  <si>
    <t>100/1608-512 de.  Döbrököz</t>
  </si>
  <si>
    <t>109/12127 Pusztaszabolcs</t>
  </si>
  <si>
    <t>100/1652-1552  Tab 10</t>
  </si>
  <si>
    <t>100/1600-3061 Szekszárd 13 óra</t>
  </si>
  <si>
    <t>110/10119  Szálka 1/2 9</t>
  </si>
  <si>
    <t>113/10069 Dunaszentgyörgy</t>
  </si>
  <si>
    <t>100/1600-3061 Szd 14</t>
  </si>
  <si>
    <t>100/1659-3094 Paks</t>
  </si>
  <si>
    <t>100/1662-005 Rácalmás tervezési</t>
  </si>
  <si>
    <t>100/1662-7 Rácalmás</t>
  </si>
  <si>
    <t>113/10068 Dunaújváros</t>
  </si>
  <si>
    <t>109/12091-6 SMHV</t>
  </si>
  <si>
    <t>109/11715-1061 Dújváros 10</t>
  </si>
  <si>
    <t>109/11715-1105 Adony 10</t>
  </si>
  <si>
    <t>109/11715-1070 Paks 9</t>
  </si>
  <si>
    <t>109/11715-1107 Sbogárd 9</t>
  </si>
  <si>
    <t>109/11715-1108 Rácalmás 10</t>
  </si>
  <si>
    <t>109/11715-1104 Kulcs 14</t>
  </si>
  <si>
    <t>109/11715-1106 Iváncsa 13</t>
  </si>
  <si>
    <t>109/11715-1110 Paks 12</t>
  </si>
  <si>
    <t>109/11861-412 Bátaszék 10</t>
  </si>
  <si>
    <t>109/11715-1079 Szakadát 9</t>
  </si>
  <si>
    <t>109/11861-409 Szekszárd 8</t>
  </si>
  <si>
    <t>109/11861-410 Szekszárd 8</t>
  </si>
  <si>
    <t>109/11861-411 Tolna 12</t>
  </si>
  <si>
    <t>109/11861-413 Bátaszék 8</t>
  </si>
  <si>
    <t xml:space="preserve">109/11861-414 Bátaszék      </t>
  </si>
  <si>
    <t>109/11861-415 Bátaszék      10</t>
  </si>
  <si>
    <t>109/11861-416 Bátaszék      11</t>
  </si>
  <si>
    <t>109/11715 SMHV kitűzés</t>
  </si>
  <si>
    <t>109/11861 Köz-Meg bemérés</t>
  </si>
  <si>
    <t>100/1600-3061 Szekszárd kutat</t>
  </si>
  <si>
    <t>Galág-Galág-Galág</t>
  </si>
  <si>
    <t>100/1659-3088 Dunaújváros ?</t>
  </si>
  <si>
    <t>Balogh-Újváry-Galág</t>
  </si>
  <si>
    <t>Zsuzsa, Erika, Sanyi</t>
  </si>
  <si>
    <t>Zsuzsa, Klieber, Jókai</t>
  </si>
  <si>
    <t>30. hét</t>
  </si>
  <si>
    <t>hétfő 07.22</t>
  </si>
  <si>
    <t>kedd 07.23</t>
  </si>
  <si>
    <t>szerda 07.24</t>
  </si>
  <si>
    <t>csütörtök 07.25</t>
  </si>
  <si>
    <t>péntek 07.26</t>
  </si>
  <si>
    <t>szombat 07.27</t>
  </si>
  <si>
    <t>vasárnap 07.28</t>
  </si>
  <si>
    <t>Székesfehérvár alkatrész</t>
  </si>
  <si>
    <t>100/1652-1555 Siófok</t>
  </si>
  <si>
    <t>8 Szerviz Kürtősy</t>
  </si>
  <si>
    <t>100/1652-1554 Siófok</t>
  </si>
  <si>
    <t>Balogh-Újváry-Pilisi</t>
  </si>
  <si>
    <t xml:space="preserve">100/1659-3095 Györköny   </t>
  </si>
  <si>
    <t>100/1600-2997 Cikó 13</t>
  </si>
  <si>
    <t>100/1652-1553 Siójut 10</t>
  </si>
  <si>
    <t>113/10062 Paks 8 Kitűzés</t>
  </si>
  <si>
    <t>Siófoki Fh&gt;Eon lead</t>
  </si>
  <si>
    <t>100/1600-3061 Szekszárd 13</t>
  </si>
  <si>
    <t>100/1662-11 Pincehely 8óra Kitűz</t>
  </si>
  <si>
    <t>100/1662-14 Szekszárd</t>
  </si>
  <si>
    <t>113/10068 TECHNO utólagos9db</t>
  </si>
  <si>
    <t>100/1662-10  Szekszárd 8:00</t>
  </si>
  <si>
    <t>100/1659-3098 Simontornya</t>
  </si>
  <si>
    <t>100/1662-11 Pincehely 13</t>
  </si>
  <si>
    <t>100/1659-3096 Mohács</t>
  </si>
  <si>
    <t>100/1662-13 Tolna</t>
  </si>
  <si>
    <t>Erős-Galág2-Kunfalvi</t>
  </si>
  <si>
    <t>100/1600-2984 Paks</t>
  </si>
  <si>
    <t>100/1659-3100 Bonyhád</t>
  </si>
  <si>
    <t>100/1662-12 Dunaújváros bemér</t>
  </si>
  <si>
    <t>109/11861-417 Szd</t>
  </si>
  <si>
    <t>Balogh-újváry</t>
  </si>
  <si>
    <t>109/11715-1085 Gerjen 9</t>
  </si>
  <si>
    <t>109/11715-1112 Tolna 9</t>
  </si>
  <si>
    <t>109/12091-6 SMHV bemér</t>
  </si>
  <si>
    <t>109/11715-1113 Alsónyék 9</t>
  </si>
  <si>
    <t>109/11715-1114 Nagymányok 12</t>
  </si>
  <si>
    <t>109/11861-417 Szekszárd</t>
  </si>
  <si>
    <t>100/1600-3043 Kajdacs</t>
  </si>
  <si>
    <t>109/11861 Köz bemér</t>
  </si>
  <si>
    <t>100/1600-3014 Szd 14</t>
  </si>
  <si>
    <t>100/1659-3065 Kajdacs</t>
  </si>
  <si>
    <t>109/12106 Paks bemér 8</t>
  </si>
  <si>
    <t>Lsx-504</t>
  </si>
  <si>
    <t>100/1661-1-4 Bátaszék</t>
  </si>
  <si>
    <t>100/11715 SMHV kitűzés</t>
  </si>
  <si>
    <t>Klieber, Kunfalvi</t>
  </si>
  <si>
    <t>Klieber, Jókai</t>
  </si>
  <si>
    <t>31. hét</t>
  </si>
  <si>
    <t>hétfő 07.29</t>
  </si>
  <si>
    <t>kedd 07.30</t>
  </si>
  <si>
    <t>szerda 07.31</t>
  </si>
  <si>
    <t>csütörtök 08.01</t>
  </si>
  <si>
    <t>péntek 08.02</t>
  </si>
  <si>
    <t>szombat 08.03</t>
  </si>
  <si>
    <t>vasárnap 08.04</t>
  </si>
  <si>
    <t>100/1659-3094 Zomba</t>
  </si>
  <si>
    <t xml:space="preserve">111/10008 </t>
  </si>
  <si>
    <t>100/1659-3103 Paks</t>
  </si>
  <si>
    <t>109/12129 Simontornya</t>
  </si>
  <si>
    <t>Szalkszentmárton kavicsbánya</t>
  </si>
  <si>
    <t>100/1662-15  Kakasd 12 után</t>
  </si>
  <si>
    <t>113/10071 utólagos</t>
  </si>
  <si>
    <t>109/12130 Szedres 8</t>
  </si>
  <si>
    <t>Kulcsár Pilisi</t>
  </si>
  <si>
    <t>Pilisi-Jókai</t>
  </si>
  <si>
    <t>100/     ?                 PA Rt</t>
  </si>
  <si>
    <t>100/         ?           PA Rt</t>
  </si>
  <si>
    <t>100/1659-3099 Adony</t>
  </si>
  <si>
    <t>pécs</t>
  </si>
  <si>
    <t>109/12132 Szekszárd</t>
  </si>
  <si>
    <t>109/12109 Paks 11</t>
  </si>
  <si>
    <t>113/10070  Bonyhád 8:00</t>
  </si>
  <si>
    <t>100/1659-3105 Paks</t>
  </si>
  <si>
    <t>100/1662-16  Nagyszokoly  11:00</t>
  </si>
  <si>
    <t>PAVILL leadás</t>
  </si>
  <si>
    <t>113/10068 Gerjen</t>
  </si>
  <si>
    <t xml:space="preserve">109/12128 Paks </t>
  </si>
  <si>
    <t>109/11715-1115 Nagykarácsony 13.30</t>
  </si>
  <si>
    <t>109/11715-1102 Zomba 9</t>
  </si>
  <si>
    <t>109/11715-1116 Bonyhád 11,30</t>
  </si>
  <si>
    <t>109/11715-1117 Györköny 11,30</t>
  </si>
  <si>
    <t>109/11715-1106 Iváncs  10</t>
  </si>
  <si>
    <t>109/11715-1119 Simontornya 10</t>
  </si>
  <si>
    <t>109/11715-1120 Besnyő 12</t>
  </si>
  <si>
    <t>109/11715-1118 Besnyő  12</t>
  </si>
  <si>
    <t>109/11715-1061 Dunaújváros</t>
  </si>
  <si>
    <t>109-11715-1057 Madocsa12</t>
  </si>
  <si>
    <t>100/11715 SMHV bemérés</t>
  </si>
  <si>
    <t>109/11861-418 Szekszárd 8</t>
  </si>
  <si>
    <t>109/12091-6 SMHV bemérés</t>
  </si>
  <si>
    <t>Galág-Galág2</t>
  </si>
  <si>
    <t>32. hét</t>
  </si>
  <si>
    <t>hétfő 08.05</t>
  </si>
  <si>
    <t>kedd 08.06</t>
  </si>
  <si>
    <t>szerda 08.07</t>
  </si>
  <si>
    <t>csütörtök 08.08</t>
  </si>
  <si>
    <t>péntek 08.09</t>
  </si>
  <si>
    <t>szombat 08.10</t>
  </si>
  <si>
    <t>vasárnap 08.11</t>
  </si>
  <si>
    <t>100/1659-3104 Kajdacs 8-12</t>
  </si>
  <si>
    <t>100/1659-3101 Dunaújváros</t>
  </si>
  <si>
    <t>Szekszárd Nefelejcs köz 8:00</t>
  </si>
  <si>
    <t>100/1608-709  Hőgyész</t>
  </si>
  <si>
    <t>100/1661-2  Bonyhád</t>
  </si>
  <si>
    <t>100/1652-1556 Siófok</t>
  </si>
  <si>
    <t>100/1659-3102 Bátaszék</t>
  </si>
  <si>
    <t>100/1652-1556 Siófok Módosított 9:00</t>
  </si>
  <si>
    <t>100/1662-19  Pálfa</t>
  </si>
  <si>
    <t>100/1658 léges csati</t>
  </si>
  <si>
    <t>100/1662-16  Nagyszokoly</t>
  </si>
  <si>
    <t>109/11715-1121 Paks 9:30</t>
  </si>
  <si>
    <t>109/11715-1124  Kulcs13</t>
  </si>
  <si>
    <t>109/11715-1107 Sárbogárd 9</t>
  </si>
  <si>
    <t>109/11715-ös kitűzések</t>
  </si>
  <si>
    <t>109/11715-1051 Cece 11:30</t>
  </si>
  <si>
    <t>109/11715-1123 Nagyszékely13</t>
  </si>
  <si>
    <t>Szd-Paks-Sárbogárd</t>
  </si>
  <si>
    <t>109/11715-1125 Bonyhád 10</t>
  </si>
  <si>
    <t>109/11715 SMHV kitűz-bemér</t>
  </si>
  <si>
    <t>113/10071 Madocsa 8:30</t>
  </si>
  <si>
    <t>109/11861-420 Szd.</t>
  </si>
  <si>
    <t>1662-17-Kulcs Gfk bem. 12:30</t>
  </si>
  <si>
    <t>100/1659-3109 Szekszárd</t>
  </si>
  <si>
    <t>100/1662-007 Rácalmás bemérés</t>
  </si>
  <si>
    <t>109/11861-421 Szd.</t>
  </si>
  <si>
    <t>100/1662-18 Decs</t>
  </si>
  <si>
    <t>100/1659-3106 Hőgyész kitűzés</t>
  </si>
  <si>
    <t>100/1658  léges csati</t>
  </si>
  <si>
    <t>100/1659-3107 Somberek terv</t>
  </si>
  <si>
    <t>100/1659-3097  Zomba</t>
  </si>
  <si>
    <t>113/10066 Székesfehérvár</t>
  </si>
  <si>
    <t>109/12131  Szekszárd 8:00</t>
  </si>
  <si>
    <t>100/1659-3100 Bonyhád 8.30</t>
  </si>
  <si>
    <t>Erős utána szerk</t>
  </si>
  <si>
    <t>Bonyhád-Bátaszék-Mohács</t>
  </si>
  <si>
    <t>100/1659-     Kisvejke   13.00</t>
  </si>
  <si>
    <t>Kurd-Lengyel -Tevel</t>
  </si>
  <si>
    <t>33. hét</t>
  </si>
  <si>
    <t>hétfő 08.12</t>
  </si>
  <si>
    <t>kedd 08.13</t>
  </si>
  <si>
    <t>szerda 08.14</t>
  </si>
  <si>
    <t>csütörtök 08.15</t>
  </si>
  <si>
    <t>péntek 08.16</t>
  </si>
  <si>
    <t>szombat 08.17</t>
  </si>
  <si>
    <t>vasárnap 08.18</t>
  </si>
  <si>
    <t>100/1652-1557 Zamárdi 9 óra</t>
  </si>
  <si>
    <t xml:space="preserve">            Pécs scen</t>
  </si>
  <si>
    <t>100/1659-3110 Sáregres</t>
  </si>
  <si>
    <t>PSE pálya</t>
  </si>
  <si>
    <t>100/1652-1660 Szántód</t>
  </si>
  <si>
    <t>100/1652-1558 B.őszöd 13óra</t>
  </si>
  <si>
    <t>109/12133 Szekszárd</t>
  </si>
  <si>
    <t>100/1652-1559 Siófok</t>
  </si>
  <si>
    <t>109/11715-1130 Madocsa 10</t>
  </si>
  <si>
    <t>109/11715-1127 Bölcske 9</t>
  </si>
  <si>
    <t>109/11715-1126 Paks Ip.Park</t>
  </si>
  <si>
    <t>109/11715-1129 Madocsa 9</t>
  </si>
  <si>
    <t>100/1658-2 Eon lég</t>
  </si>
  <si>
    <t>109/11715-1128 Györköny 14</t>
  </si>
  <si>
    <t>100/1662-19     Pálfa</t>
  </si>
  <si>
    <t>109/11715-1131 Rácalmás 13</t>
  </si>
  <si>
    <t>100/1600-3026 Várdomb</t>
  </si>
  <si>
    <t>109/11715 SMHV kitűz</t>
  </si>
  <si>
    <t>100/1659-3113 Paks</t>
  </si>
  <si>
    <t>109/11861-422 Szekszárd</t>
  </si>
  <si>
    <t>113/10073 Baracs 9:00</t>
  </si>
  <si>
    <t>100/1659-3114 Dunaújváros</t>
  </si>
  <si>
    <t>100/1662-20    Tolna</t>
  </si>
  <si>
    <t>100/1659-3061 Szd 13</t>
  </si>
  <si>
    <t>100/1662-10 Szekszárd</t>
  </si>
  <si>
    <t>100/1662-15 Kakasd</t>
  </si>
  <si>
    <t>100/1600-3013  Tolna</t>
  </si>
  <si>
    <t>Erős-Balogh</t>
  </si>
  <si>
    <t>Erős-Ujváry</t>
  </si>
  <si>
    <t>100/1643 Edelény</t>
  </si>
  <si>
    <t>34. hét</t>
  </si>
  <si>
    <t>hétfő 08.19</t>
  </si>
  <si>
    <t>kedd 08.20</t>
  </si>
  <si>
    <t>szerda 08.21</t>
  </si>
  <si>
    <t>csütörtök 08.22</t>
  </si>
  <si>
    <t>péntek 08.23</t>
  </si>
  <si>
    <t>szombat 08.24</t>
  </si>
  <si>
    <t>vasárnap 08.25</t>
  </si>
  <si>
    <t>bármi</t>
  </si>
  <si>
    <t>109/11715-1133 Baracs 11</t>
  </si>
  <si>
    <t>109/11715-1134 Besnyő 10</t>
  </si>
  <si>
    <t>109/11715-1136 Mecseknádasd 12</t>
  </si>
  <si>
    <t>109/11715-1129 Madocsa 13</t>
  </si>
  <si>
    <t>109/11715-1135 Dunaföldvár 12</t>
  </si>
  <si>
    <t>Pilisi Galág</t>
  </si>
  <si>
    <t>37. hét</t>
  </si>
  <si>
    <t>hétfő 09.09</t>
  </si>
  <si>
    <t>kedd 09.10</t>
  </si>
  <si>
    <t>szerda 09.11</t>
  </si>
  <si>
    <t>csütörtök 09.12</t>
  </si>
  <si>
    <t>péntek 09.13</t>
  </si>
  <si>
    <t>szombat 09.14</t>
  </si>
  <si>
    <t>vasárnap 09.15</t>
  </si>
  <si>
    <t>38. hét</t>
  </si>
  <si>
    <t>hétfő 09.16</t>
  </si>
  <si>
    <t>kedd 09.17</t>
  </si>
  <si>
    <t>szerda 09.18</t>
  </si>
  <si>
    <t>csütörtök 09.19</t>
  </si>
  <si>
    <t>péntek 09.20</t>
  </si>
  <si>
    <t>szombat 09.21</t>
  </si>
  <si>
    <t>vasárnap 09.22</t>
  </si>
  <si>
    <t>39. hét</t>
  </si>
  <si>
    <t>hétfő 09.23</t>
  </si>
  <si>
    <t>kedd 09.24</t>
  </si>
  <si>
    <t>szerda 09.25</t>
  </si>
  <si>
    <t>csütörtök 09.26</t>
  </si>
  <si>
    <t>péntek 09.27</t>
  </si>
  <si>
    <t>szombat 09.28</t>
  </si>
  <si>
    <t>vasárnap 09.29</t>
  </si>
  <si>
    <t>40. hét</t>
  </si>
  <si>
    <t>hétfő 09.30</t>
  </si>
  <si>
    <t>kedd 10.01</t>
  </si>
  <si>
    <t>szerda 10.02</t>
  </si>
  <si>
    <t>csütörtök 10.03</t>
  </si>
  <si>
    <t>péntek 10.04</t>
  </si>
  <si>
    <t>szombat 10.05</t>
  </si>
  <si>
    <t>vasárnap 10.06</t>
  </si>
  <si>
    <t>41. hét</t>
  </si>
  <si>
    <t>hétfő 10.07</t>
  </si>
  <si>
    <t>kedd 10.08</t>
  </si>
  <si>
    <t>szerda 10.09</t>
  </si>
  <si>
    <t>csütörtök 10.10</t>
  </si>
  <si>
    <t>péntek 10.11</t>
  </si>
  <si>
    <t>szombat 10.12</t>
  </si>
  <si>
    <t>vasárnap 10.13</t>
  </si>
  <si>
    <t>42. hét</t>
  </si>
  <si>
    <t>hétfő 10.14</t>
  </si>
  <si>
    <t>kedd 10.15</t>
  </si>
  <si>
    <t>szerda 10.16</t>
  </si>
  <si>
    <t>csütörtök 10.17</t>
  </si>
  <si>
    <t>péntek 10.18</t>
  </si>
  <si>
    <t>szombat 10.19</t>
  </si>
  <si>
    <t>vasárnap 10.20</t>
  </si>
  <si>
    <t>43. hét</t>
  </si>
  <si>
    <t>hétfő 10.21</t>
  </si>
  <si>
    <t>kedd 10.22</t>
  </si>
  <si>
    <t>szerda 10.23</t>
  </si>
  <si>
    <t>csütörtök 10.24</t>
  </si>
  <si>
    <t>péntek 10.25</t>
  </si>
  <si>
    <t>szombat 10.26</t>
  </si>
  <si>
    <t>vasárnap 10.27</t>
  </si>
  <si>
    <t>44. hét</t>
  </si>
  <si>
    <t>hétfő 10.28</t>
  </si>
  <si>
    <t>kedd 10.29</t>
  </si>
  <si>
    <t>szerda 10.30</t>
  </si>
  <si>
    <t>csütörtök 10.31</t>
  </si>
  <si>
    <t>péntek 11.01</t>
  </si>
  <si>
    <t>szombat 11.02</t>
  </si>
  <si>
    <t>vasárnap 11.03</t>
  </si>
  <si>
    <t>45. hét</t>
  </si>
  <si>
    <t>hétfő 11.04</t>
  </si>
  <si>
    <t>kedd 11.05</t>
  </si>
  <si>
    <t>szerda 11.06</t>
  </si>
  <si>
    <t>csütörtök 11.07</t>
  </si>
  <si>
    <t>péntek 11.08</t>
  </si>
  <si>
    <t>szombat 11.09</t>
  </si>
  <si>
    <t>vasárnap 11.10</t>
  </si>
  <si>
    <t>46. hét</t>
  </si>
  <si>
    <t>hétfő 11.11</t>
  </si>
  <si>
    <t>kedd 11.12</t>
  </si>
  <si>
    <t>szerda 11.13</t>
  </si>
  <si>
    <t>csütörtök 11.14</t>
  </si>
  <si>
    <t>péntek 11.15</t>
  </si>
  <si>
    <t>szombat 11.16</t>
  </si>
  <si>
    <t>vasárnap 11.17</t>
  </si>
  <si>
    <t>47. hét</t>
  </si>
  <si>
    <t>hétfő 11.18</t>
  </si>
  <si>
    <t>kedd 11.19</t>
  </si>
  <si>
    <t>szerda 11.20</t>
  </si>
  <si>
    <t>csütörtök 11.21</t>
  </si>
  <si>
    <t>péntek 11.22</t>
  </si>
  <si>
    <t>szombat 11.23</t>
  </si>
  <si>
    <t>vasárnap 11.24</t>
  </si>
  <si>
    <t>48. hét</t>
  </si>
  <si>
    <t>hétfő 11.25</t>
  </si>
  <si>
    <t>kedd 11.26</t>
  </si>
  <si>
    <t>szerda 11.27</t>
  </si>
  <si>
    <t>csütörtök 11.28</t>
  </si>
  <si>
    <t>péntek 11.29</t>
  </si>
  <si>
    <t>szombat 11.30</t>
  </si>
  <si>
    <t>vasárnap 12.01</t>
  </si>
  <si>
    <t>49. hét</t>
  </si>
  <si>
    <t>hétfő 12.02</t>
  </si>
  <si>
    <t>kedd 12.03</t>
  </si>
  <si>
    <t>szerda 12.04</t>
  </si>
  <si>
    <t>csütörtök 12.05</t>
  </si>
  <si>
    <t>péntek 12.06</t>
  </si>
  <si>
    <t>szombat 12.07</t>
  </si>
  <si>
    <t>vasárnap 12.08</t>
  </si>
  <si>
    <t>50. hét</t>
  </si>
  <si>
    <t>hétfő 12.09</t>
  </si>
  <si>
    <t>kedd 12.10</t>
  </si>
  <si>
    <t>szerda 12.11</t>
  </si>
  <si>
    <t>csütörtök 12.12</t>
  </si>
  <si>
    <t>péntek 12.13</t>
  </si>
  <si>
    <t>szombat 12.14</t>
  </si>
  <si>
    <t>vasárnap 12.15</t>
  </si>
  <si>
    <t>51. hét</t>
  </si>
  <si>
    <t>hétfő 12.16</t>
  </si>
  <si>
    <t>kedd 12.17</t>
  </si>
  <si>
    <t>szerda 12.18</t>
  </si>
  <si>
    <t>csütörtök 12.19</t>
  </si>
  <si>
    <t>péntek 12.20</t>
  </si>
  <si>
    <t>szombat 12.21</t>
  </si>
  <si>
    <t>vasárnap 12.22</t>
  </si>
  <si>
    <t>52. hét</t>
  </si>
  <si>
    <t>hétfő 12.23</t>
  </si>
  <si>
    <t>kedd 12.24</t>
  </si>
  <si>
    <t>szerda 12.25</t>
  </si>
  <si>
    <t>csütörtök 12.26</t>
  </si>
  <si>
    <t>péntek 12.27</t>
  </si>
  <si>
    <t>szombat 12.28</t>
  </si>
  <si>
    <t>vasárnap 12.29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</si>
</sst>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nap&quot;"/>
  </numFmts>
  <fonts count="22" x14ac:knownFonts="1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u/>
      <sz val="10"/>
      <name val="Arial"/>
      <family val="2"/>
      <charset val="238"/>
    </font>
    <font>
      <sz val="10"/>
      <color rgb="FFFF0000"/>
      <name val="Arial"/>
      <family val="2"/>
      <charset val="238"/>
    </font>
    <font>
      <sz val="10"/>
      <color rgb="FF0070C0"/>
      <name val="Arial"/>
      <family val="2"/>
      <charset val="238"/>
    </font>
    <font>
      <sz val="10"/>
      <color rgb="FF00B050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u/>
      <sz val="10"/>
      <color rgb="FFFF0000"/>
      <name val="Arial"/>
      <family val="2"/>
      <charset val="238"/>
    </font>
    <font>
      <b/>
      <i/>
      <sz val="10"/>
      <name val="Arial"/>
      <family val="2"/>
      <charset val="238"/>
    </font>
    <font>
      <sz val="10"/>
      <color theme="4" tint="-0.249977111117893"/>
      <name val="Arial"/>
      <family val="2"/>
      <charset val="238"/>
    </font>
    <font>
      <sz val="10"/>
      <color rgb="FF92D050"/>
      <name val="Arial"/>
      <family val="2"/>
      <charset val="238"/>
    </font>
    <font>
      <sz val="10"/>
      <color theme="9" tint="-0.249977111117893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rgb="FF00B0F0"/>
      <name val="Arial"/>
      <family val="2"/>
      <charset val="238"/>
    </font>
    <font>
      <sz val="10"/>
      <name val="Webdings"/>
      <family val="1"/>
      <charset val="2"/>
    </font>
    <font>
      <b/>
      <sz val="11"/>
      <name val="Arial"/>
      <family val="2"/>
      <charset val="238"/>
    </font>
    <font>
      <sz val="11"/>
      <name val="Arial"/>
      <family val="2"/>
      <charset val="238"/>
    </font>
    <font>
      <sz val="9"/>
      <name val="Arial"/>
      <family val="2"/>
      <charset val="238"/>
    </font>
    <font>
      <sz val="10"/>
      <color rgb="FF007635"/>
      <name val="Arial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F963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8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0" xfId="0" applyBorder="1" applyAlignment="1">
      <alignment wrapText="1"/>
    </xf>
    <xf numFmtId="0" fontId="2" fillId="0" borderId="0" xfId="0" applyFont="1" applyBorder="1" applyAlignment="1">
      <alignment wrapText="1"/>
    </xf>
    <xf numFmtId="0" fontId="1" fillId="0" borderId="0" xfId="0" applyFont="1" applyBorder="1" applyAlignment="1">
      <alignment vertical="center" wrapText="1"/>
    </xf>
    <xf numFmtId="0" fontId="2" fillId="0" borderId="2" xfId="0" applyFont="1" applyBorder="1"/>
    <xf numFmtId="0" fontId="2" fillId="0" borderId="1" xfId="0" applyFont="1" applyBorder="1"/>
    <xf numFmtId="0" fontId="1" fillId="0" borderId="3" xfId="0" applyFont="1" applyBorder="1" applyAlignment="1">
      <alignment vertical="center" wrapText="1"/>
    </xf>
    <xf numFmtId="0" fontId="2" fillId="0" borderId="4" xfId="0" applyFont="1" applyBorder="1"/>
    <xf numFmtId="0" fontId="0" fillId="0" borderId="4" xfId="0" applyBorder="1"/>
    <xf numFmtId="0" fontId="4" fillId="0" borderId="1" xfId="0" applyFont="1" applyBorder="1"/>
    <xf numFmtId="0" fontId="4" fillId="0" borderId="2" xfId="0" applyFont="1" applyBorder="1"/>
    <xf numFmtId="0" fontId="5" fillId="0" borderId="5" xfId="0" applyFont="1" applyBorder="1"/>
    <xf numFmtId="0" fontId="5" fillId="0" borderId="0" xfId="0" applyFont="1" applyBorder="1"/>
    <xf numFmtId="0" fontId="6" fillId="0" borderId="0" xfId="0" applyFont="1" applyBorder="1"/>
    <xf numFmtId="0" fontId="0" fillId="2" borderId="2" xfId="0" applyFill="1" applyBorder="1"/>
    <xf numFmtId="0" fontId="0" fillId="2" borderId="1" xfId="0" applyFill="1" applyBorder="1"/>
    <xf numFmtId="0" fontId="0" fillId="2" borderId="4" xfId="0" applyFill="1" applyBorder="1"/>
    <xf numFmtId="0" fontId="0" fillId="0" borderId="6" xfId="0" applyBorder="1"/>
    <xf numFmtId="0" fontId="1" fillId="0" borderId="0" xfId="0" applyFont="1" applyBorder="1" applyAlignment="1">
      <alignment wrapText="1"/>
    </xf>
    <xf numFmtId="0" fontId="4" fillId="0" borderId="1" xfId="0" applyFont="1" applyFill="1" applyBorder="1"/>
    <xf numFmtId="0" fontId="0" fillId="2" borderId="6" xfId="0" applyFill="1" applyBorder="1"/>
    <xf numFmtId="0" fontId="3" fillId="0" borderId="6" xfId="0" applyFont="1" applyBorder="1"/>
    <xf numFmtId="0" fontId="3" fillId="2" borderId="6" xfId="0" applyFont="1" applyFill="1" applyBorder="1"/>
    <xf numFmtId="0" fontId="2" fillId="0" borderId="0" xfId="0" applyFont="1" applyBorder="1"/>
    <xf numFmtId="0" fontId="0" fillId="0" borderId="7" xfId="0" applyBorder="1"/>
    <xf numFmtId="0" fontId="2" fillId="0" borderId="8" xfId="0" applyFont="1" applyBorder="1"/>
    <xf numFmtId="0" fontId="2" fillId="0" borderId="9" xfId="0" applyFont="1" applyBorder="1"/>
    <xf numFmtId="0" fontId="0" fillId="0" borderId="10" xfId="0" applyBorder="1"/>
    <xf numFmtId="0" fontId="0" fillId="0" borderId="11" xfId="0" applyBorder="1"/>
    <xf numFmtId="0" fontId="6" fillId="0" borderId="0" xfId="0" applyFont="1" applyFill="1" applyBorder="1"/>
    <xf numFmtId="0" fontId="7" fillId="0" borderId="1" xfId="0" applyFont="1" applyBorder="1"/>
    <xf numFmtId="0" fontId="1" fillId="0" borderId="0" xfId="0" applyFont="1" applyAlignment="1">
      <alignment vertical="center"/>
    </xf>
    <xf numFmtId="0" fontId="4" fillId="0" borderId="0" xfId="0" applyFont="1"/>
    <xf numFmtId="0" fontId="2" fillId="0" borderId="13" xfId="0" applyFont="1" applyBorder="1"/>
    <xf numFmtId="0" fontId="0" fillId="0" borderId="13" xfId="0" applyBorder="1"/>
    <xf numFmtId="0" fontId="4" fillId="0" borderId="7" xfId="0" applyFont="1" applyBorder="1"/>
    <xf numFmtId="0" fontId="0" fillId="0" borderId="15" xfId="0" applyBorder="1"/>
    <xf numFmtId="0" fontId="0" fillId="0" borderId="8" xfId="0" applyBorder="1"/>
    <xf numFmtId="0" fontId="0" fillId="0" borderId="16" xfId="0" applyBorder="1"/>
    <xf numFmtId="0" fontId="2" fillId="0" borderId="14" xfId="0" applyFont="1" applyBorder="1"/>
    <xf numFmtId="0" fontId="2" fillId="0" borderId="7" xfId="0" applyFont="1" applyBorder="1"/>
    <xf numFmtId="0" fontId="2" fillId="0" borderId="3" xfId="0" applyFont="1" applyBorder="1"/>
    <xf numFmtId="0" fontId="4" fillId="0" borderId="7" xfId="0" applyFont="1" applyFill="1" applyBorder="1"/>
    <xf numFmtId="0" fontId="2" fillId="0" borderId="17" xfId="0" applyFont="1" applyBorder="1"/>
    <xf numFmtId="0" fontId="2" fillId="0" borderId="15" xfId="0" applyFont="1" applyBorder="1"/>
    <xf numFmtId="0" fontId="4" fillId="0" borderId="8" xfId="0" applyFont="1" applyBorder="1"/>
    <xf numFmtId="0" fontId="1" fillId="0" borderId="18" xfId="0" applyFont="1" applyBorder="1" applyAlignment="1">
      <alignment vertical="center" wrapText="1"/>
    </xf>
    <xf numFmtId="0" fontId="3" fillId="0" borderId="16" xfId="0" applyFont="1" applyBorder="1"/>
    <xf numFmtId="0" fontId="0" fillId="0" borderId="17" xfId="0" applyBorder="1"/>
    <xf numFmtId="0" fontId="2" fillId="0" borderId="19" xfId="0" applyFont="1" applyBorder="1"/>
    <xf numFmtId="0" fontId="0" fillId="0" borderId="12" xfId="0" applyBorder="1"/>
    <xf numFmtId="0" fontId="0" fillId="0" borderId="20" xfId="0" applyBorder="1"/>
    <xf numFmtId="0" fontId="4" fillId="0" borderId="22" xfId="0" applyFont="1" applyBorder="1"/>
    <xf numFmtId="0" fontId="4" fillId="0" borderId="23" xfId="0" applyFont="1" applyBorder="1"/>
    <xf numFmtId="0" fontId="3" fillId="0" borderId="24" xfId="0" applyFont="1" applyBorder="1"/>
    <xf numFmtId="0" fontId="10" fillId="0" borderId="13" xfId="0" applyFont="1" applyBorder="1"/>
    <xf numFmtId="0" fontId="11" fillId="0" borderId="25" xfId="1" applyFont="1" applyBorder="1" applyAlignment="1">
      <alignment horizontal="center" vertical="center" wrapText="1"/>
    </xf>
    <xf numFmtId="0" fontId="11" fillId="0" borderId="26" xfId="1" applyFont="1" applyBorder="1" applyAlignment="1">
      <alignment horizontal="center" vertical="center"/>
    </xf>
    <xf numFmtId="0" fontId="11" fillId="2" borderId="26" xfId="1" applyFont="1" applyFill="1" applyBorder="1" applyAlignment="1">
      <alignment horizontal="center" vertical="center"/>
    </xf>
    <xf numFmtId="0" fontId="11" fillId="3" borderId="26" xfId="1" applyFont="1" applyFill="1" applyBorder="1" applyAlignment="1">
      <alignment horizontal="center" vertical="center"/>
    </xf>
    <xf numFmtId="0" fontId="1" fillId="0" borderId="0" xfId="1" applyFont="1" applyAlignment="1">
      <alignment horizontal="center"/>
    </xf>
    <xf numFmtId="0" fontId="2" fillId="0" borderId="0" xfId="1"/>
    <xf numFmtId="0" fontId="1" fillId="0" borderId="22" xfId="1" applyFont="1" applyBorder="1" applyAlignment="1">
      <alignment horizontal="center" vertical="center" wrapText="1"/>
    </xf>
    <xf numFmtId="0" fontId="2" fillId="0" borderId="2" xfId="1" applyFont="1" applyBorder="1"/>
    <xf numFmtId="0" fontId="2" fillId="2" borderId="2" xfId="1" applyFont="1" applyFill="1" applyBorder="1"/>
    <xf numFmtId="0" fontId="2" fillId="0" borderId="2" xfId="1" applyFont="1" applyFill="1" applyBorder="1"/>
    <xf numFmtId="0" fontId="2" fillId="3" borderId="2" xfId="1" applyFont="1" applyFill="1" applyBorder="1"/>
    <xf numFmtId="0" fontId="1" fillId="0" borderId="0" xfId="1" applyFont="1"/>
    <xf numFmtId="0" fontId="1" fillId="0" borderId="23" xfId="1" applyFont="1" applyBorder="1" applyAlignment="1">
      <alignment horizontal="center" vertical="center" wrapText="1"/>
    </xf>
    <xf numFmtId="0" fontId="2" fillId="0" borderId="1" xfId="1" applyFont="1" applyBorder="1"/>
    <xf numFmtId="0" fontId="2" fillId="2" borderId="1" xfId="1" applyFont="1" applyFill="1" applyBorder="1"/>
    <xf numFmtId="0" fontId="2" fillId="0" borderId="1" xfId="1" applyFont="1" applyFill="1" applyBorder="1"/>
    <xf numFmtId="0" fontId="2" fillId="3" borderId="1" xfId="1" applyFont="1" applyFill="1" applyBorder="1"/>
    <xf numFmtId="0" fontId="11" fillId="0" borderId="23" xfId="1" applyFont="1" applyBorder="1" applyAlignment="1">
      <alignment horizontal="center" vertical="center"/>
    </xf>
    <xf numFmtId="0" fontId="2" fillId="0" borderId="23" xfId="1" applyBorder="1" applyAlignment="1">
      <alignment horizontal="center" wrapText="1"/>
    </xf>
    <xf numFmtId="0" fontId="2" fillId="0" borderId="6" xfId="1" applyFont="1" applyBorder="1"/>
    <xf numFmtId="0" fontId="2" fillId="2" borderId="6" xfId="1" applyFont="1" applyFill="1" applyBorder="1"/>
    <xf numFmtId="0" fontId="2" fillId="0" borderId="6" xfId="1" applyFont="1" applyFill="1" applyBorder="1"/>
    <xf numFmtId="0" fontId="2" fillId="3" borderId="6" xfId="1" applyFont="1" applyFill="1" applyBorder="1"/>
    <xf numFmtId="0" fontId="1" fillId="0" borderId="27" xfId="1" applyFont="1" applyBorder="1" applyAlignment="1">
      <alignment horizontal="left" vertical="center" wrapText="1"/>
    </xf>
    <xf numFmtId="0" fontId="2" fillId="0" borderId="4" xfId="1" applyFont="1" applyBorder="1"/>
    <xf numFmtId="0" fontId="2" fillId="2" borderId="4" xfId="1" applyFont="1" applyFill="1" applyBorder="1"/>
    <xf numFmtId="0" fontId="2" fillId="0" borderId="4" xfId="1" applyFont="1" applyFill="1" applyBorder="1"/>
    <xf numFmtId="0" fontId="2" fillId="3" borderId="4" xfId="1" applyFont="1" applyFill="1" applyBorder="1"/>
    <xf numFmtId="0" fontId="1" fillId="0" borderId="23" xfId="1" applyFont="1" applyBorder="1" applyAlignment="1">
      <alignment horizontal="center" wrapText="1"/>
    </xf>
    <xf numFmtId="0" fontId="11" fillId="0" borderId="23" xfId="1" applyFont="1" applyBorder="1" applyAlignment="1">
      <alignment horizontal="center" wrapText="1"/>
    </xf>
    <xf numFmtId="0" fontId="3" fillId="0" borderId="6" xfId="1" applyFont="1" applyBorder="1"/>
    <xf numFmtId="0" fontId="3" fillId="2" borderId="6" xfId="1" applyFont="1" applyFill="1" applyBorder="1"/>
    <xf numFmtId="0" fontId="3" fillId="0" borderId="6" xfId="1" applyFont="1" applyFill="1" applyBorder="1"/>
    <xf numFmtId="0" fontId="3" fillId="3" borderId="6" xfId="1" applyFont="1" applyFill="1" applyBorder="1"/>
    <xf numFmtId="0" fontId="2" fillId="0" borderId="23" xfId="1" applyFont="1" applyBorder="1" applyAlignment="1">
      <alignment horizontal="center" wrapText="1"/>
    </xf>
    <xf numFmtId="0" fontId="1" fillId="0" borderId="1" xfId="1" applyFont="1" applyBorder="1"/>
    <xf numFmtId="0" fontId="2" fillId="0" borderId="1" xfId="1" applyBorder="1"/>
    <xf numFmtId="0" fontId="2" fillId="2" borderId="1" xfId="1" applyFill="1" applyBorder="1"/>
    <xf numFmtId="0" fontId="2" fillId="0" borderId="1" xfId="1" applyFill="1" applyBorder="1"/>
    <xf numFmtId="0" fontId="2" fillId="3" borderId="1" xfId="1" applyFill="1" applyBorder="1"/>
    <xf numFmtId="0" fontId="2" fillId="0" borderId="6" xfId="1" applyBorder="1"/>
    <xf numFmtId="0" fontId="2" fillId="2" borderId="6" xfId="1" applyFill="1" applyBorder="1"/>
    <xf numFmtId="0" fontId="2" fillId="0" borderId="6" xfId="1" applyFill="1" applyBorder="1"/>
    <xf numFmtId="0" fontId="2" fillId="3" borderId="6" xfId="1" applyFill="1" applyBorder="1"/>
    <xf numFmtId="0" fontId="2" fillId="0" borderId="4" xfId="1" applyBorder="1"/>
    <xf numFmtId="0" fontId="2" fillId="2" borderId="4" xfId="1" applyFill="1" applyBorder="1"/>
    <xf numFmtId="0" fontId="2" fillId="0" borderId="4" xfId="1" applyFill="1" applyBorder="1"/>
    <xf numFmtId="0" fontId="2" fillId="3" borderId="4" xfId="1" applyFill="1" applyBorder="1"/>
    <xf numFmtId="0" fontId="6" fillId="0" borderId="0" xfId="1" applyFont="1" applyBorder="1" applyAlignment="1">
      <alignment wrapText="1"/>
    </xf>
    <xf numFmtId="0" fontId="6" fillId="0" borderId="0" xfId="1" applyFont="1" applyBorder="1"/>
    <xf numFmtId="0" fontId="12" fillId="0" borderId="0" xfId="1" applyFont="1" applyBorder="1" applyAlignment="1">
      <alignment wrapText="1"/>
    </xf>
    <xf numFmtId="0" fontId="2" fillId="0" borderId="0" xfId="1" applyBorder="1" applyAlignment="1">
      <alignment wrapText="1"/>
    </xf>
    <xf numFmtId="0" fontId="13" fillId="0" borderId="0" xfId="1" applyFont="1" applyBorder="1"/>
    <xf numFmtId="0" fontId="1" fillId="0" borderId="0" xfId="1" applyFont="1" applyBorder="1" applyAlignment="1">
      <alignment vertical="center" wrapText="1"/>
    </xf>
    <xf numFmtId="0" fontId="2" fillId="0" borderId="0" xfId="1" applyBorder="1"/>
    <xf numFmtId="0" fontId="2" fillId="0" borderId="0" xfId="1" applyAlignment="1">
      <alignment wrapText="1"/>
    </xf>
    <xf numFmtId="0" fontId="1" fillId="2" borderId="1" xfId="1" applyFont="1" applyFill="1" applyBorder="1"/>
    <xf numFmtId="0" fontId="1" fillId="3" borderId="1" xfId="1" applyFont="1" applyFill="1" applyBorder="1"/>
    <xf numFmtId="0" fontId="4" fillId="0" borderId="2" xfId="1" applyFont="1" applyBorder="1"/>
    <xf numFmtId="0" fontId="4" fillId="4" borderId="1" xfId="0" applyFont="1" applyFill="1" applyBorder="1"/>
    <xf numFmtId="0" fontId="0" fillId="4" borderId="1" xfId="0" applyFill="1" applyBorder="1"/>
    <xf numFmtId="0" fontId="0" fillId="4" borderId="6" xfId="0" applyFill="1" applyBorder="1"/>
    <xf numFmtId="0" fontId="2" fillId="4" borderId="1" xfId="0" applyFont="1" applyFill="1" applyBorder="1"/>
    <xf numFmtId="0" fontId="4" fillId="0" borderId="1" xfId="1" applyFont="1" applyBorder="1"/>
    <xf numFmtId="0" fontId="4" fillId="0" borderId="2" xfId="1" applyFont="1" applyFill="1" applyBorder="1"/>
    <xf numFmtId="0" fontId="4" fillId="0" borderId="1" xfId="1" applyFont="1" applyFill="1" applyBorder="1"/>
    <xf numFmtId="0" fontId="4" fillId="4" borderId="2" xfId="0" applyFont="1" applyFill="1" applyBorder="1"/>
    <xf numFmtId="0" fontId="4" fillId="4" borderId="6" xfId="0" applyFont="1" applyFill="1" applyBorder="1"/>
    <xf numFmtId="0" fontId="2" fillId="5" borderId="1" xfId="1" applyFont="1" applyFill="1" applyBorder="1"/>
    <xf numFmtId="0" fontId="4" fillId="5" borderId="1" xfId="1" applyFont="1" applyFill="1" applyBorder="1"/>
    <xf numFmtId="0" fontId="2" fillId="5" borderId="0" xfId="1" applyFill="1"/>
    <xf numFmtId="0" fontId="2" fillId="5" borderId="6" xfId="1" applyFont="1" applyFill="1" applyBorder="1"/>
    <xf numFmtId="0" fontId="2" fillId="5" borderId="4" xfId="1" applyFont="1" applyFill="1" applyBorder="1"/>
    <xf numFmtId="0" fontId="4" fillId="0" borderId="12" xfId="1" applyFont="1" applyBorder="1"/>
    <xf numFmtId="0" fontId="2" fillId="0" borderId="8" xfId="1" applyFont="1" applyBorder="1"/>
    <xf numFmtId="0" fontId="2" fillId="0" borderId="16" xfId="1" applyFont="1" applyBorder="1"/>
    <xf numFmtId="0" fontId="2" fillId="0" borderId="3" xfId="1" applyFont="1" applyBorder="1"/>
    <xf numFmtId="0" fontId="1" fillId="0" borderId="2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2" fillId="0" borderId="1" xfId="1" applyBorder="1" applyAlignment="1">
      <alignment horizontal="center" wrapText="1"/>
    </xf>
    <xf numFmtId="0" fontId="1" fillId="0" borderId="13" xfId="1" applyFont="1" applyBorder="1" applyAlignment="1">
      <alignment horizontal="left" vertical="center" wrapText="1"/>
    </xf>
    <xf numFmtId="0" fontId="4" fillId="0" borderId="0" xfId="1" applyFont="1"/>
    <xf numFmtId="0" fontId="4" fillId="6" borderId="2" xfId="1" applyFont="1" applyFill="1" applyBorder="1"/>
    <xf numFmtId="0" fontId="4" fillId="6" borderId="1" xfId="1" applyFont="1" applyFill="1" applyBorder="1"/>
    <xf numFmtId="0" fontId="2" fillId="6" borderId="0" xfId="1" applyFill="1" applyBorder="1" applyAlignment="1">
      <alignment wrapText="1"/>
    </xf>
    <xf numFmtId="0" fontId="4" fillId="0" borderId="6" xfId="1" applyFont="1" applyBorder="1"/>
    <xf numFmtId="0" fontId="5" fillId="0" borderId="0" xfId="1" applyFont="1" applyBorder="1"/>
    <xf numFmtId="0" fontId="4" fillId="0" borderId="7" xfId="1" applyFont="1" applyBorder="1"/>
    <xf numFmtId="0" fontId="1" fillId="0" borderId="7" xfId="1" applyFont="1" applyBorder="1"/>
    <xf numFmtId="0" fontId="2" fillId="0" borderId="7" xfId="1" applyFont="1" applyBorder="1"/>
    <xf numFmtId="0" fontId="2" fillId="0" borderId="17" xfId="1" applyFont="1" applyBorder="1"/>
    <xf numFmtId="0" fontId="2" fillId="0" borderId="15" xfId="1" applyFont="1" applyBorder="1"/>
    <xf numFmtId="0" fontId="4" fillId="0" borderId="8" xfId="1" applyFont="1" applyBorder="1"/>
    <xf numFmtId="0" fontId="2" fillId="0" borderId="13" xfId="1" applyFont="1" applyBorder="1"/>
    <xf numFmtId="0" fontId="1" fillId="0" borderId="28" xfId="1" applyFont="1" applyBorder="1" applyAlignment="1">
      <alignment horizontal="left" vertical="center" wrapText="1"/>
    </xf>
    <xf numFmtId="0" fontId="4" fillId="0" borderId="16" xfId="1" applyFont="1" applyBorder="1"/>
    <xf numFmtId="0" fontId="4" fillId="0" borderId="6" xfId="1" applyFont="1" applyFill="1" applyBorder="1"/>
    <xf numFmtId="0" fontId="4" fillId="4" borderId="1" xfId="1" applyFont="1" applyFill="1" applyBorder="1"/>
    <xf numFmtId="0" fontId="14" fillId="0" borderId="0" xfId="1" applyFont="1" applyBorder="1" applyAlignment="1">
      <alignment wrapText="1"/>
    </xf>
    <xf numFmtId="0" fontId="14" fillId="0" borderId="0" xfId="1" applyFont="1" applyBorder="1"/>
    <xf numFmtId="0" fontId="2" fillId="0" borderId="29" xfId="1" applyFont="1" applyBorder="1"/>
    <xf numFmtId="0" fontId="1" fillId="0" borderId="30" xfId="1" applyFont="1" applyBorder="1" applyAlignment="1">
      <alignment horizontal="left" vertical="center" wrapText="1"/>
    </xf>
    <xf numFmtId="0" fontId="4" fillId="0" borderId="8" xfId="1" applyFont="1" applyFill="1" applyBorder="1"/>
    <xf numFmtId="0" fontId="2" fillId="0" borderId="8" xfId="1" applyFont="1" applyFill="1" applyBorder="1"/>
    <xf numFmtId="0" fontId="2" fillId="0" borderId="16" xfId="1" applyFont="1" applyFill="1" applyBorder="1"/>
    <xf numFmtId="0" fontId="2" fillId="0" borderId="0" xfId="1" applyFont="1" applyBorder="1"/>
    <xf numFmtId="0" fontId="4" fillId="0" borderId="0" xfId="1" applyFont="1" applyBorder="1"/>
    <xf numFmtId="0" fontId="2" fillId="0" borderId="24" xfId="1" applyFont="1" applyBorder="1"/>
    <xf numFmtId="0" fontId="2" fillId="0" borderId="18" xfId="1" applyFont="1" applyBorder="1"/>
    <xf numFmtId="0" fontId="4" fillId="0" borderId="14" xfId="1" applyFont="1" applyBorder="1"/>
    <xf numFmtId="0" fontId="2" fillId="0" borderId="12" xfId="1" applyFont="1" applyBorder="1"/>
    <xf numFmtId="0" fontId="11" fillId="0" borderId="21" xfId="1" applyFont="1" applyBorder="1" applyAlignment="1">
      <alignment horizontal="center" vertical="center"/>
    </xf>
    <xf numFmtId="0" fontId="2" fillId="3" borderId="8" xfId="1" applyFont="1" applyFill="1" applyBorder="1"/>
    <xf numFmtId="0" fontId="2" fillId="3" borderId="16" xfId="1" applyFont="1" applyFill="1" applyBorder="1"/>
    <xf numFmtId="0" fontId="2" fillId="3" borderId="3" xfId="1" applyFont="1" applyFill="1" applyBorder="1"/>
    <xf numFmtId="0" fontId="4" fillId="0" borderId="17" xfId="1" applyFont="1" applyBorder="1"/>
    <xf numFmtId="0" fontId="2" fillId="3" borderId="12" xfId="1" applyFont="1" applyFill="1" applyBorder="1"/>
    <xf numFmtId="0" fontId="2" fillId="7" borderId="2" xfId="1" applyFont="1" applyFill="1" applyBorder="1"/>
    <xf numFmtId="0" fontId="2" fillId="7" borderId="1" xfId="1" applyFont="1" applyFill="1" applyBorder="1"/>
    <xf numFmtId="0" fontId="2" fillId="7" borderId="6" xfId="1" applyFont="1" applyFill="1" applyBorder="1"/>
    <xf numFmtId="0" fontId="2" fillId="7" borderId="4" xfId="1" applyFont="1" applyFill="1" applyBorder="1"/>
    <xf numFmtId="0" fontId="3" fillId="7" borderId="6" xfId="1" applyFont="1" applyFill="1" applyBorder="1"/>
    <xf numFmtId="0" fontId="2" fillId="7" borderId="1" xfId="1" applyFill="1" applyBorder="1"/>
    <xf numFmtId="0" fontId="2" fillId="7" borderId="6" xfId="1" applyFill="1" applyBorder="1"/>
    <xf numFmtId="0" fontId="2" fillId="7" borderId="4" xfId="1" applyFill="1" applyBorder="1"/>
    <xf numFmtId="0" fontId="2" fillId="7" borderId="2" xfId="1" applyFill="1" applyBorder="1"/>
    <xf numFmtId="0" fontId="15" fillId="0" borderId="1" xfId="1" applyFont="1" applyFill="1" applyBorder="1"/>
    <xf numFmtId="0" fontId="15" fillId="0" borderId="7" xfId="1" applyFont="1" applyFill="1" applyBorder="1"/>
    <xf numFmtId="0" fontId="0" fillId="8" borderId="0" xfId="0" applyFill="1"/>
    <xf numFmtId="0" fontId="2" fillId="8" borderId="4" xfId="0" applyFont="1" applyFill="1" applyBorder="1"/>
    <xf numFmtId="0" fontId="4" fillId="0" borderId="2" xfId="0" applyFont="1" applyFill="1" applyBorder="1"/>
    <xf numFmtId="0" fontId="2" fillId="0" borderId="1" xfId="0" applyFont="1" applyFill="1" applyBorder="1"/>
    <xf numFmtId="0" fontId="0" fillId="0" borderId="1" xfId="0" applyFill="1" applyBorder="1"/>
    <xf numFmtId="0" fontId="0" fillId="0" borderId="6" xfId="0" applyFill="1" applyBorder="1"/>
    <xf numFmtId="0" fontId="4" fillId="4" borderId="8" xfId="0" applyFont="1" applyFill="1" applyBorder="1"/>
    <xf numFmtId="0" fontId="4" fillId="4" borderId="21" xfId="0" applyFont="1" applyFill="1" applyBorder="1"/>
    <xf numFmtId="0" fontId="4" fillId="8" borderId="4" xfId="0" applyFont="1" applyFill="1" applyBorder="1"/>
    <xf numFmtId="0" fontId="2" fillId="4" borderId="5" xfId="0" applyFont="1" applyFill="1" applyBorder="1"/>
    <xf numFmtId="0" fontId="2" fillId="4" borderId="0" xfId="0" applyFont="1" applyFill="1"/>
    <xf numFmtId="0" fontId="2" fillId="8" borderId="4" xfId="1" applyFont="1" applyFill="1" applyBorder="1"/>
    <xf numFmtId="0" fontId="0" fillId="0" borderId="0" xfId="0" applyFill="1" applyBorder="1"/>
    <xf numFmtId="0" fontId="2" fillId="8" borderId="15" xfId="1" applyFont="1" applyFill="1" applyBorder="1"/>
    <xf numFmtId="0" fontId="2" fillId="8" borderId="13" xfId="1" applyFont="1" applyFill="1" applyBorder="1"/>
    <xf numFmtId="0" fontId="2" fillId="4" borderId="4" xfId="1" applyFont="1" applyFill="1" applyBorder="1"/>
    <xf numFmtId="0" fontId="2" fillId="4" borderId="13" xfId="1" applyFont="1" applyFill="1" applyBorder="1"/>
    <xf numFmtId="0" fontId="2" fillId="4" borderId="3" xfId="1" applyFont="1" applyFill="1" applyBorder="1"/>
    <xf numFmtId="0" fontId="2" fillId="4" borderId="8" xfId="1" applyFont="1" applyFill="1" applyBorder="1"/>
    <xf numFmtId="0" fontId="2" fillId="4" borderId="15" xfId="1" applyFont="1" applyFill="1" applyBorder="1"/>
    <xf numFmtId="0" fontId="2" fillId="4" borderId="19" xfId="1" applyFont="1" applyFill="1" applyBorder="1"/>
    <xf numFmtId="0" fontId="2" fillId="4" borderId="7" xfId="1" applyFont="1" applyFill="1" applyBorder="1"/>
    <xf numFmtId="0" fontId="2" fillId="0" borderId="31" xfId="1" applyFont="1" applyBorder="1"/>
    <xf numFmtId="0" fontId="11" fillId="0" borderId="33" xfId="1" applyFont="1" applyBorder="1" applyAlignment="1">
      <alignment horizontal="center" wrapText="1"/>
    </xf>
    <xf numFmtId="0" fontId="2" fillId="0" borderId="32" xfId="1" applyBorder="1" applyAlignment="1">
      <alignment horizontal="center" wrapText="1"/>
    </xf>
    <xf numFmtId="0" fontId="16" fillId="0" borderId="0" xfId="1" applyFont="1" applyBorder="1"/>
    <xf numFmtId="0" fontId="11" fillId="0" borderId="1" xfId="1" applyFont="1" applyFill="1" applyBorder="1"/>
    <xf numFmtId="0" fontId="2" fillId="0" borderId="34" xfId="1" applyFont="1" applyBorder="1"/>
    <xf numFmtId="0" fontId="11" fillId="4" borderId="25" xfId="1" applyFont="1" applyFill="1" applyBorder="1" applyAlignment="1">
      <alignment horizontal="center" vertical="center" wrapText="1"/>
    </xf>
    <xf numFmtId="164" fontId="1" fillId="0" borderId="0" xfId="1" applyNumberFormat="1" applyFont="1" applyAlignment="1">
      <alignment horizontal="center" vertical="center"/>
    </xf>
    <xf numFmtId="164" fontId="2" fillId="0" borderId="0" xfId="1" applyNumberFormat="1" applyAlignment="1">
      <alignment horizontal="center" vertical="center"/>
    </xf>
    <xf numFmtId="164" fontId="2" fillId="8" borderId="0" xfId="1" applyNumberForma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8" borderId="0" xfId="1" applyFill="1" applyAlignment="1">
      <alignment horizontal="center" vertical="center"/>
    </xf>
    <xf numFmtId="0" fontId="2" fillId="0" borderId="6" xfId="1" applyFont="1" applyBorder="1" applyAlignment="1">
      <alignment horizontal="center"/>
    </xf>
    <xf numFmtId="0" fontId="2" fillId="0" borderId="6" xfId="1" applyFont="1" applyFill="1" applyBorder="1" applyAlignment="1">
      <alignment horizontal="center"/>
    </xf>
    <xf numFmtId="0" fontId="2" fillId="0" borderId="6" xfId="1" applyFont="1" applyFill="1" applyBorder="1" applyAlignment="1">
      <alignment horizontal="center" vertical="top"/>
    </xf>
    <xf numFmtId="0" fontId="4" fillId="0" borderId="1" xfId="1" applyFont="1" applyBorder="1" applyAlignment="1">
      <alignment horizontal="left" vertical="top" wrapText="1"/>
    </xf>
    <xf numFmtId="0" fontId="11" fillId="0" borderId="35" xfId="1" applyFont="1" applyBorder="1" applyAlignment="1">
      <alignment horizontal="center" wrapText="1"/>
    </xf>
    <xf numFmtId="0" fontId="2" fillId="0" borderId="13" xfId="1" applyFont="1" applyFill="1" applyBorder="1"/>
    <xf numFmtId="0" fontId="2" fillId="3" borderId="13" xfId="1" applyFont="1" applyFill="1" applyBorder="1"/>
    <xf numFmtId="0" fontId="2" fillId="0" borderId="4" xfId="1" quotePrefix="1" applyFont="1" applyBorder="1"/>
    <xf numFmtId="0" fontId="2" fillId="4" borderId="0" xfId="1" applyFill="1" applyAlignment="1">
      <alignment horizontal="center" vertical="center"/>
    </xf>
    <xf numFmtId="0" fontId="2" fillId="4" borderId="1" xfId="1" applyFont="1" applyFill="1" applyBorder="1"/>
    <xf numFmtId="164" fontId="2" fillId="4" borderId="0" xfId="1" applyNumberFormat="1" applyFill="1" applyAlignment="1">
      <alignment horizontal="center" vertical="center"/>
    </xf>
    <xf numFmtId="0" fontId="17" fillId="0" borderId="1" xfId="1" applyFont="1" applyBorder="1"/>
    <xf numFmtId="0" fontId="2" fillId="9" borderId="4" xfId="1" applyFont="1" applyFill="1" applyBorder="1"/>
    <xf numFmtId="0" fontId="18" fillId="0" borderId="0" xfId="1" applyFont="1" applyAlignment="1">
      <alignment horizontal="center"/>
    </xf>
    <xf numFmtId="0" fontId="18" fillId="0" borderId="0" xfId="1" applyFont="1"/>
    <xf numFmtId="0" fontId="19" fillId="0" borderId="0" xfId="1" applyFont="1"/>
    <xf numFmtId="164" fontId="19" fillId="9" borderId="7" xfId="1" applyNumberFormat="1" applyFont="1" applyFill="1" applyBorder="1" applyAlignment="1">
      <alignment horizontal="center"/>
    </xf>
    <xf numFmtId="164" fontId="19" fillId="9" borderId="7" xfId="1" applyNumberFormat="1" applyFont="1" applyFill="1" applyBorder="1" applyAlignment="1">
      <alignment horizontal="center" vertical="top"/>
    </xf>
    <xf numFmtId="0" fontId="1" fillId="9" borderId="4" xfId="1" applyFont="1" applyFill="1" applyBorder="1" applyAlignment="1"/>
    <xf numFmtId="164" fontId="20" fillId="4" borderId="7" xfId="0" applyNumberFormat="1" applyFont="1" applyFill="1" applyBorder="1" applyAlignment="1">
      <alignment horizontal="center" vertical="center"/>
    </xf>
    <xf numFmtId="164" fontId="20" fillId="4" borderId="7" xfId="0" applyNumberFormat="1" applyFont="1" applyFill="1" applyBorder="1" applyAlignment="1">
      <alignment horizontal="center"/>
    </xf>
    <xf numFmtId="0" fontId="0" fillId="9" borderId="18" xfId="0" applyFill="1" applyBorder="1" applyAlignment="1"/>
    <xf numFmtId="164" fontId="20" fillId="4" borderId="7" xfId="1" applyNumberFormat="1" applyFont="1" applyFill="1" applyBorder="1" applyAlignment="1">
      <alignment horizontal="center" vertical="center"/>
    </xf>
    <xf numFmtId="0" fontId="2" fillId="9" borderId="18" xfId="0" applyFont="1" applyFill="1" applyBorder="1" applyAlignment="1"/>
    <xf numFmtId="0" fontId="1" fillId="9" borderId="4" xfId="0" applyFont="1" applyFill="1" applyBorder="1" applyAlignment="1"/>
    <xf numFmtId="164" fontId="2" fillId="9" borderId="4" xfId="1" applyNumberFormat="1" applyFont="1" applyFill="1" applyBorder="1" applyAlignment="1">
      <alignment horizontal="center"/>
    </xf>
    <xf numFmtId="0" fontId="2" fillId="0" borderId="7" xfId="1" applyBorder="1"/>
    <xf numFmtId="0" fontId="2" fillId="3" borderId="8" xfId="1" applyFill="1" applyBorder="1"/>
    <xf numFmtId="0" fontId="2" fillId="0" borderId="8" xfId="1" applyFont="1" applyFill="1" applyBorder="1" applyAlignment="1">
      <alignment horizontal="center"/>
    </xf>
    <xf numFmtId="0" fontId="2" fillId="0" borderId="17" xfId="1" applyBorder="1"/>
    <xf numFmtId="0" fontId="2" fillId="0" borderId="15" xfId="1" applyBorder="1"/>
    <xf numFmtId="0" fontId="2" fillId="3" borderId="16" xfId="1" applyFill="1" applyBorder="1"/>
    <xf numFmtId="0" fontId="2" fillId="3" borderId="3" xfId="1" applyFill="1" applyBorder="1"/>
    <xf numFmtId="0" fontId="2" fillId="0" borderId="31" xfId="1" applyFont="1" applyFill="1" applyBorder="1"/>
    <xf numFmtId="0" fontId="4" fillId="0" borderId="2" xfId="0" applyNumberFormat="1" applyFont="1" applyFill="1" applyBorder="1" applyAlignment="1" applyProtection="1"/>
    <xf numFmtId="0" fontId="2" fillId="0" borderId="0" xfId="1" applyFont="1"/>
    <xf numFmtId="0" fontId="2" fillId="0" borderId="1" xfId="0" applyNumberFormat="1" applyFont="1" applyFill="1" applyBorder="1" applyAlignment="1" applyProtection="1"/>
    <xf numFmtId="0" fontId="19" fillId="0" borderId="0" xfId="1" applyNumberFormat="1" applyFont="1" applyFill="1" applyBorder="1" applyAlignment="1"/>
    <xf numFmtId="0" fontId="6" fillId="0" borderId="4" xfId="1" applyFont="1" applyBorder="1"/>
    <xf numFmtId="0" fontId="6" fillId="0" borderId="15" xfId="1" applyFont="1" applyBorder="1"/>
    <xf numFmtId="0" fontId="6" fillId="0" borderId="13" xfId="1" applyFont="1" applyBorder="1"/>
    <xf numFmtId="0" fontId="6" fillId="0" borderId="8" xfId="1" applyFont="1" applyBorder="1"/>
    <xf numFmtId="0" fontId="6" fillId="0" borderId="1" xfId="1" applyFont="1" applyFill="1" applyBorder="1"/>
    <xf numFmtId="0" fontId="0" fillId="9" borderId="31" xfId="0" applyFill="1" applyBorder="1" applyAlignment="1"/>
    <xf numFmtId="0" fontId="2" fillId="9" borderId="36" xfId="0" applyFont="1" applyFill="1" applyBorder="1"/>
    <xf numFmtId="0" fontId="2" fillId="9" borderId="31" xfId="0" applyFont="1" applyFill="1" applyBorder="1"/>
    <xf numFmtId="0" fontId="6" fillId="0" borderId="4" xfId="1" applyFont="1" applyFill="1" applyBorder="1"/>
    <xf numFmtId="0" fontId="1" fillId="9" borderId="4" xfId="1" applyFont="1" applyFill="1" applyBorder="1"/>
    <xf numFmtId="164" fontId="2" fillId="9" borderId="0" xfId="1" applyNumberFormat="1" applyFill="1" applyAlignment="1">
      <alignment horizontal="center" vertical="center"/>
    </xf>
    <xf numFmtId="164" fontId="2" fillId="9" borderId="4" xfId="1" applyNumberFormat="1" applyFill="1" applyBorder="1" applyAlignment="1">
      <alignment horizontal="center" vertical="top"/>
    </xf>
    <xf numFmtId="164" fontId="2" fillId="9" borderId="4" xfId="1" applyNumberFormat="1" applyFont="1" applyFill="1" applyBorder="1" applyAlignment="1">
      <alignment horizontal="center" vertical="top"/>
    </xf>
    <xf numFmtId="164" fontId="20" fillId="4" borderId="7" xfId="1" applyNumberFormat="1" applyFont="1" applyFill="1" applyBorder="1" applyAlignment="1">
      <alignment horizontal="center"/>
    </xf>
    <xf numFmtId="0" fontId="21" fillId="0" borderId="1" xfId="1" applyFont="1" applyBorder="1"/>
    <xf numFmtId="0" fontId="21" fillId="0" borderId="4" xfId="1" applyFont="1" applyBorder="1"/>
    <xf numFmtId="0" fontId="21" fillId="0" borderId="15" xfId="1" applyFont="1" applyBorder="1"/>
    <xf numFmtId="0" fontId="21" fillId="0" borderId="4" xfId="1" applyNumberFormat="1" applyFont="1" applyFill="1" applyBorder="1" applyAlignment="1" applyProtection="1"/>
    <xf numFmtId="0" fontId="21" fillId="0" borderId="4" xfId="1" applyFont="1" applyFill="1" applyBorder="1"/>
    <xf numFmtId="164" fontId="2" fillId="9" borderId="0" xfId="1" applyNumberFormat="1" applyFont="1" applyFill="1" applyBorder="1" applyAlignment="1">
      <alignment horizontal="right" vertical="top"/>
    </xf>
    <xf numFmtId="164" fontId="1" fillId="9" borderId="0" xfId="1" applyNumberFormat="1" applyFont="1" applyFill="1" applyBorder="1" applyAlignment="1">
      <alignment horizontal="right" vertical="top"/>
    </xf>
    <xf numFmtId="0" fontId="4" fillId="0" borderId="1" xfId="0" applyNumberFormat="1" applyFont="1" applyFill="1" applyBorder="1" applyAlignment="1" applyProtection="1"/>
  </cellXfs>
  <cellStyles count="2">
    <cellStyle name="Normál" xfId="0" builtinId="0"/>
    <cellStyle name="Normál 2" xfId="1" xr:uid="{00000000-0005-0000-0000-000001000000}"/>
  </cellStyles>
  <dxfs count="0"/>
  <tableStyles count="0" defaultTableStyle="TableStyleMedium9" defaultPivotStyle="PivotStyleLight16"/>
  <colors>
    <mruColors>
      <color rgb="FF007635"/>
      <color rgb="FFE0F963"/>
      <color rgb="FFFFC9C9"/>
      <color rgb="FFFFC6B9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comments" Target="../comments1.xml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1.bin"/><Relationship Id="rId13" Type="http://schemas.openxmlformats.org/officeDocument/2006/relationships/printerSettings" Target="../printerSettings/printerSettings26.bin"/><Relationship Id="rId3" Type="http://schemas.openxmlformats.org/officeDocument/2006/relationships/printerSettings" Target="../printerSettings/printerSettings16.bin"/><Relationship Id="rId7" Type="http://schemas.openxmlformats.org/officeDocument/2006/relationships/printerSettings" Target="../printerSettings/printerSettings20.bin"/><Relationship Id="rId12" Type="http://schemas.openxmlformats.org/officeDocument/2006/relationships/printerSettings" Target="../printerSettings/printerSettings25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6" Type="http://schemas.openxmlformats.org/officeDocument/2006/relationships/printerSettings" Target="../printerSettings/printerSettings19.bin"/><Relationship Id="rId11" Type="http://schemas.openxmlformats.org/officeDocument/2006/relationships/printerSettings" Target="../printerSettings/printerSettings24.bin"/><Relationship Id="rId5" Type="http://schemas.openxmlformats.org/officeDocument/2006/relationships/printerSettings" Target="../printerSettings/printerSettings18.bin"/><Relationship Id="rId15" Type="http://schemas.openxmlformats.org/officeDocument/2006/relationships/comments" Target="../comments2.xml"/><Relationship Id="rId10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17.bin"/><Relationship Id="rId9" Type="http://schemas.openxmlformats.org/officeDocument/2006/relationships/printerSettings" Target="../printerSettings/printerSettings22.bin"/><Relationship Id="rId1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4.bin"/><Relationship Id="rId13" Type="http://schemas.openxmlformats.org/officeDocument/2006/relationships/printerSettings" Target="../printerSettings/printerSettings39.bin"/><Relationship Id="rId3" Type="http://schemas.openxmlformats.org/officeDocument/2006/relationships/printerSettings" Target="../printerSettings/printerSettings29.bin"/><Relationship Id="rId7" Type="http://schemas.openxmlformats.org/officeDocument/2006/relationships/printerSettings" Target="../printerSettings/printerSettings33.bin"/><Relationship Id="rId12" Type="http://schemas.openxmlformats.org/officeDocument/2006/relationships/printerSettings" Target="../printerSettings/printerSettings38.bin"/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Relationship Id="rId6" Type="http://schemas.openxmlformats.org/officeDocument/2006/relationships/printerSettings" Target="../printerSettings/printerSettings32.bin"/><Relationship Id="rId11" Type="http://schemas.openxmlformats.org/officeDocument/2006/relationships/printerSettings" Target="../printerSettings/printerSettings37.bin"/><Relationship Id="rId5" Type="http://schemas.openxmlformats.org/officeDocument/2006/relationships/printerSettings" Target="../printerSettings/printerSettings31.bin"/><Relationship Id="rId10" Type="http://schemas.openxmlformats.org/officeDocument/2006/relationships/printerSettings" Target="../printerSettings/printerSettings36.bin"/><Relationship Id="rId4" Type="http://schemas.openxmlformats.org/officeDocument/2006/relationships/printerSettings" Target="../printerSettings/printerSettings30.bin"/><Relationship Id="rId9" Type="http://schemas.openxmlformats.org/officeDocument/2006/relationships/printerSettings" Target="../printerSettings/printerSettings3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7.bin"/><Relationship Id="rId13" Type="http://schemas.openxmlformats.org/officeDocument/2006/relationships/printerSettings" Target="../printerSettings/printerSettings52.bin"/><Relationship Id="rId3" Type="http://schemas.openxmlformats.org/officeDocument/2006/relationships/printerSettings" Target="../printerSettings/printerSettings42.bin"/><Relationship Id="rId7" Type="http://schemas.openxmlformats.org/officeDocument/2006/relationships/printerSettings" Target="../printerSettings/printerSettings46.bin"/><Relationship Id="rId12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6" Type="http://schemas.openxmlformats.org/officeDocument/2006/relationships/printerSettings" Target="../printerSettings/printerSettings45.bin"/><Relationship Id="rId11" Type="http://schemas.openxmlformats.org/officeDocument/2006/relationships/printerSettings" Target="../printerSettings/printerSettings50.bin"/><Relationship Id="rId5" Type="http://schemas.openxmlformats.org/officeDocument/2006/relationships/printerSettings" Target="../printerSettings/printerSettings44.bin"/><Relationship Id="rId10" Type="http://schemas.openxmlformats.org/officeDocument/2006/relationships/printerSettings" Target="../printerSettings/printerSettings49.bin"/><Relationship Id="rId4" Type="http://schemas.openxmlformats.org/officeDocument/2006/relationships/printerSettings" Target="../printerSettings/printerSettings43.bin"/><Relationship Id="rId9" Type="http://schemas.openxmlformats.org/officeDocument/2006/relationships/printerSettings" Target="../printerSettings/printerSettings48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0.bin"/><Relationship Id="rId13" Type="http://schemas.openxmlformats.org/officeDocument/2006/relationships/printerSettings" Target="../printerSettings/printerSettings65.bin"/><Relationship Id="rId3" Type="http://schemas.openxmlformats.org/officeDocument/2006/relationships/printerSettings" Target="../printerSettings/printerSettings55.bin"/><Relationship Id="rId7" Type="http://schemas.openxmlformats.org/officeDocument/2006/relationships/printerSettings" Target="../printerSettings/printerSettings59.bin"/><Relationship Id="rId12" Type="http://schemas.openxmlformats.org/officeDocument/2006/relationships/printerSettings" Target="../printerSettings/printerSettings64.bin"/><Relationship Id="rId2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53.bin"/><Relationship Id="rId6" Type="http://schemas.openxmlformats.org/officeDocument/2006/relationships/printerSettings" Target="../printerSettings/printerSettings58.bin"/><Relationship Id="rId11" Type="http://schemas.openxmlformats.org/officeDocument/2006/relationships/printerSettings" Target="../printerSettings/printerSettings63.bin"/><Relationship Id="rId5" Type="http://schemas.openxmlformats.org/officeDocument/2006/relationships/printerSettings" Target="../printerSettings/printerSettings57.bin"/><Relationship Id="rId10" Type="http://schemas.openxmlformats.org/officeDocument/2006/relationships/printerSettings" Target="../printerSettings/printerSettings62.bin"/><Relationship Id="rId4" Type="http://schemas.openxmlformats.org/officeDocument/2006/relationships/printerSettings" Target="../printerSettings/printerSettings56.bin"/><Relationship Id="rId9" Type="http://schemas.openxmlformats.org/officeDocument/2006/relationships/printerSettings" Target="../printerSettings/printerSettings6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3.bin"/><Relationship Id="rId13" Type="http://schemas.openxmlformats.org/officeDocument/2006/relationships/printerSettings" Target="../printerSettings/printerSettings78.bin"/><Relationship Id="rId3" Type="http://schemas.openxmlformats.org/officeDocument/2006/relationships/printerSettings" Target="../printerSettings/printerSettings68.bin"/><Relationship Id="rId7" Type="http://schemas.openxmlformats.org/officeDocument/2006/relationships/printerSettings" Target="../printerSettings/printerSettings72.bin"/><Relationship Id="rId12" Type="http://schemas.openxmlformats.org/officeDocument/2006/relationships/printerSettings" Target="../printerSettings/printerSettings77.bin"/><Relationship Id="rId2" Type="http://schemas.openxmlformats.org/officeDocument/2006/relationships/printerSettings" Target="../printerSettings/printerSettings67.bin"/><Relationship Id="rId1" Type="http://schemas.openxmlformats.org/officeDocument/2006/relationships/printerSettings" Target="../printerSettings/printerSettings66.bin"/><Relationship Id="rId6" Type="http://schemas.openxmlformats.org/officeDocument/2006/relationships/printerSettings" Target="../printerSettings/printerSettings71.bin"/><Relationship Id="rId11" Type="http://schemas.openxmlformats.org/officeDocument/2006/relationships/printerSettings" Target="../printerSettings/printerSettings76.bin"/><Relationship Id="rId5" Type="http://schemas.openxmlformats.org/officeDocument/2006/relationships/printerSettings" Target="../printerSettings/printerSettings70.bin"/><Relationship Id="rId10" Type="http://schemas.openxmlformats.org/officeDocument/2006/relationships/printerSettings" Target="../printerSettings/printerSettings75.bin"/><Relationship Id="rId4" Type="http://schemas.openxmlformats.org/officeDocument/2006/relationships/printerSettings" Target="../printerSettings/printerSettings69.bin"/><Relationship Id="rId9" Type="http://schemas.openxmlformats.org/officeDocument/2006/relationships/printerSettings" Target="../printerSettings/printerSettings74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6.bin"/><Relationship Id="rId13" Type="http://schemas.openxmlformats.org/officeDocument/2006/relationships/printerSettings" Target="../printerSettings/printerSettings91.bin"/><Relationship Id="rId3" Type="http://schemas.openxmlformats.org/officeDocument/2006/relationships/printerSettings" Target="../printerSettings/printerSettings81.bin"/><Relationship Id="rId7" Type="http://schemas.openxmlformats.org/officeDocument/2006/relationships/printerSettings" Target="../printerSettings/printerSettings85.bin"/><Relationship Id="rId12" Type="http://schemas.openxmlformats.org/officeDocument/2006/relationships/printerSettings" Target="../printerSettings/printerSettings90.bin"/><Relationship Id="rId2" Type="http://schemas.openxmlformats.org/officeDocument/2006/relationships/printerSettings" Target="../printerSettings/printerSettings80.bin"/><Relationship Id="rId1" Type="http://schemas.openxmlformats.org/officeDocument/2006/relationships/printerSettings" Target="../printerSettings/printerSettings79.bin"/><Relationship Id="rId6" Type="http://schemas.openxmlformats.org/officeDocument/2006/relationships/printerSettings" Target="../printerSettings/printerSettings84.bin"/><Relationship Id="rId11" Type="http://schemas.openxmlformats.org/officeDocument/2006/relationships/printerSettings" Target="../printerSettings/printerSettings89.bin"/><Relationship Id="rId5" Type="http://schemas.openxmlformats.org/officeDocument/2006/relationships/printerSettings" Target="../printerSettings/printerSettings83.bin"/><Relationship Id="rId10" Type="http://schemas.openxmlformats.org/officeDocument/2006/relationships/printerSettings" Target="../printerSettings/printerSettings88.bin"/><Relationship Id="rId4" Type="http://schemas.openxmlformats.org/officeDocument/2006/relationships/printerSettings" Target="../printerSettings/printerSettings82.bin"/><Relationship Id="rId9" Type="http://schemas.openxmlformats.org/officeDocument/2006/relationships/printerSettings" Target="../printerSettings/printerSettings87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9.bin"/><Relationship Id="rId13" Type="http://schemas.openxmlformats.org/officeDocument/2006/relationships/printerSettings" Target="../printerSettings/printerSettings104.bin"/><Relationship Id="rId3" Type="http://schemas.openxmlformats.org/officeDocument/2006/relationships/printerSettings" Target="../printerSettings/printerSettings94.bin"/><Relationship Id="rId7" Type="http://schemas.openxmlformats.org/officeDocument/2006/relationships/printerSettings" Target="../printerSettings/printerSettings98.bin"/><Relationship Id="rId12" Type="http://schemas.openxmlformats.org/officeDocument/2006/relationships/printerSettings" Target="../printerSettings/printerSettings103.bin"/><Relationship Id="rId2" Type="http://schemas.openxmlformats.org/officeDocument/2006/relationships/printerSettings" Target="../printerSettings/printerSettings93.bin"/><Relationship Id="rId1" Type="http://schemas.openxmlformats.org/officeDocument/2006/relationships/printerSettings" Target="../printerSettings/printerSettings92.bin"/><Relationship Id="rId6" Type="http://schemas.openxmlformats.org/officeDocument/2006/relationships/printerSettings" Target="../printerSettings/printerSettings97.bin"/><Relationship Id="rId11" Type="http://schemas.openxmlformats.org/officeDocument/2006/relationships/printerSettings" Target="../printerSettings/printerSettings102.bin"/><Relationship Id="rId5" Type="http://schemas.openxmlformats.org/officeDocument/2006/relationships/printerSettings" Target="../printerSettings/printerSettings96.bin"/><Relationship Id="rId10" Type="http://schemas.openxmlformats.org/officeDocument/2006/relationships/printerSettings" Target="../printerSettings/printerSettings101.bin"/><Relationship Id="rId4" Type="http://schemas.openxmlformats.org/officeDocument/2006/relationships/printerSettings" Target="../printerSettings/printerSettings95.bin"/><Relationship Id="rId9" Type="http://schemas.openxmlformats.org/officeDocument/2006/relationships/printerSettings" Target="../printerSettings/printerSettings100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12.bin"/><Relationship Id="rId13" Type="http://schemas.openxmlformats.org/officeDocument/2006/relationships/printerSettings" Target="../printerSettings/printerSettings117.bin"/><Relationship Id="rId3" Type="http://schemas.openxmlformats.org/officeDocument/2006/relationships/printerSettings" Target="../printerSettings/printerSettings107.bin"/><Relationship Id="rId7" Type="http://schemas.openxmlformats.org/officeDocument/2006/relationships/printerSettings" Target="../printerSettings/printerSettings111.bin"/><Relationship Id="rId12" Type="http://schemas.openxmlformats.org/officeDocument/2006/relationships/printerSettings" Target="../printerSettings/printerSettings116.bin"/><Relationship Id="rId2" Type="http://schemas.openxmlformats.org/officeDocument/2006/relationships/printerSettings" Target="../printerSettings/printerSettings106.bin"/><Relationship Id="rId1" Type="http://schemas.openxmlformats.org/officeDocument/2006/relationships/printerSettings" Target="../printerSettings/printerSettings105.bin"/><Relationship Id="rId6" Type="http://schemas.openxmlformats.org/officeDocument/2006/relationships/printerSettings" Target="../printerSettings/printerSettings110.bin"/><Relationship Id="rId11" Type="http://schemas.openxmlformats.org/officeDocument/2006/relationships/printerSettings" Target="../printerSettings/printerSettings115.bin"/><Relationship Id="rId5" Type="http://schemas.openxmlformats.org/officeDocument/2006/relationships/printerSettings" Target="../printerSettings/printerSettings109.bin"/><Relationship Id="rId10" Type="http://schemas.openxmlformats.org/officeDocument/2006/relationships/printerSettings" Target="../printerSettings/printerSettings114.bin"/><Relationship Id="rId4" Type="http://schemas.openxmlformats.org/officeDocument/2006/relationships/printerSettings" Target="../printerSettings/printerSettings108.bin"/><Relationship Id="rId9" Type="http://schemas.openxmlformats.org/officeDocument/2006/relationships/printerSettings" Target="../printerSettings/printerSettings113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5.bin"/><Relationship Id="rId13" Type="http://schemas.openxmlformats.org/officeDocument/2006/relationships/printerSettings" Target="../printerSettings/printerSettings130.bin"/><Relationship Id="rId3" Type="http://schemas.openxmlformats.org/officeDocument/2006/relationships/printerSettings" Target="../printerSettings/printerSettings120.bin"/><Relationship Id="rId7" Type="http://schemas.openxmlformats.org/officeDocument/2006/relationships/printerSettings" Target="../printerSettings/printerSettings124.bin"/><Relationship Id="rId12" Type="http://schemas.openxmlformats.org/officeDocument/2006/relationships/printerSettings" Target="../printerSettings/printerSettings129.bin"/><Relationship Id="rId2" Type="http://schemas.openxmlformats.org/officeDocument/2006/relationships/printerSettings" Target="../printerSettings/printerSettings119.bin"/><Relationship Id="rId1" Type="http://schemas.openxmlformats.org/officeDocument/2006/relationships/printerSettings" Target="../printerSettings/printerSettings118.bin"/><Relationship Id="rId6" Type="http://schemas.openxmlformats.org/officeDocument/2006/relationships/printerSettings" Target="../printerSettings/printerSettings123.bin"/><Relationship Id="rId11" Type="http://schemas.openxmlformats.org/officeDocument/2006/relationships/printerSettings" Target="../printerSettings/printerSettings128.bin"/><Relationship Id="rId5" Type="http://schemas.openxmlformats.org/officeDocument/2006/relationships/printerSettings" Target="../printerSettings/printerSettings122.bin"/><Relationship Id="rId10" Type="http://schemas.openxmlformats.org/officeDocument/2006/relationships/printerSettings" Target="../printerSettings/printerSettings127.bin"/><Relationship Id="rId4" Type="http://schemas.openxmlformats.org/officeDocument/2006/relationships/printerSettings" Target="../printerSettings/printerSettings121.bin"/><Relationship Id="rId9" Type="http://schemas.openxmlformats.org/officeDocument/2006/relationships/printerSettings" Target="../printerSettings/printerSettings126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38.bin"/><Relationship Id="rId13" Type="http://schemas.openxmlformats.org/officeDocument/2006/relationships/printerSettings" Target="../printerSettings/printerSettings143.bin"/><Relationship Id="rId3" Type="http://schemas.openxmlformats.org/officeDocument/2006/relationships/printerSettings" Target="../printerSettings/printerSettings133.bin"/><Relationship Id="rId7" Type="http://schemas.openxmlformats.org/officeDocument/2006/relationships/printerSettings" Target="../printerSettings/printerSettings137.bin"/><Relationship Id="rId12" Type="http://schemas.openxmlformats.org/officeDocument/2006/relationships/printerSettings" Target="../printerSettings/printerSettings142.bin"/><Relationship Id="rId2" Type="http://schemas.openxmlformats.org/officeDocument/2006/relationships/printerSettings" Target="../printerSettings/printerSettings132.bin"/><Relationship Id="rId1" Type="http://schemas.openxmlformats.org/officeDocument/2006/relationships/printerSettings" Target="../printerSettings/printerSettings131.bin"/><Relationship Id="rId6" Type="http://schemas.openxmlformats.org/officeDocument/2006/relationships/printerSettings" Target="../printerSettings/printerSettings136.bin"/><Relationship Id="rId11" Type="http://schemas.openxmlformats.org/officeDocument/2006/relationships/printerSettings" Target="../printerSettings/printerSettings141.bin"/><Relationship Id="rId5" Type="http://schemas.openxmlformats.org/officeDocument/2006/relationships/printerSettings" Target="../printerSettings/printerSettings135.bin"/><Relationship Id="rId10" Type="http://schemas.openxmlformats.org/officeDocument/2006/relationships/printerSettings" Target="../printerSettings/printerSettings140.bin"/><Relationship Id="rId4" Type="http://schemas.openxmlformats.org/officeDocument/2006/relationships/printerSettings" Target="../printerSettings/printerSettings134.bin"/><Relationship Id="rId9" Type="http://schemas.openxmlformats.org/officeDocument/2006/relationships/printerSettings" Target="../printerSettings/printerSettings139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51.bin"/><Relationship Id="rId13" Type="http://schemas.openxmlformats.org/officeDocument/2006/relationships/printerSettings" Target="../printerSettings/printerSettings156.bin"/><Relationship Id="rId3" Type="http://schemas.openxmlformats.org/officeDocument/2006/relationships/printerSettings" Target="../printerSettings/printerSettings146.bin"/><Relationship Id="rId7" Type="http://schemas.openxmlformats.org/officeDocument/2006/relationships/printerSettings" Target="../printerSettings/printerSettings150.bin"/><Relationship Id="rId12" Type="http://schemas.openxmlformats.org/officeDocument/2006/relationships/printerSettings" Target="../printerSettings/printerSettings155.bin"/><Relationship Id="rId2" Type="http://schemas.openxmlformats.org/officeDocument/2006/relationships/printerSettings" Target="../printerSettings/printerSettings145.bin"/><Relationship Id="rId1" Type="http://schemas.openxmlformats.org/officeDocument/2006/relationships/printerSettings" Target="../printerSettings/printerSettings144.bin"/><Relationship Id="rId6" Type="http://schemas.openxmlformats.org/officeDocument/2006/relationships/printerSettings" Target="../printerSettings/printerSettings149.bin"/><Relationship Id="rId11" Type="http://schemas.openxmlformats.org/officeDocument/2006/relationships/printerSettings" Target="../printerSettings/printerSettings154.bin"/><Relationship Id="rId5" Type="http://schemas.openxmlformats.org/officeDocument/2006/relationships/printerSettings" Target="../printerSettings/printerSettings148.bin"/><Relationship Id="rId10" Type="http://schemas.openxmlformats.org/officeDocument/2006/relationships/printerSettings" Target="../printerSettings/printerSettings153.bin"/><Relationship Id="rId4" Type="http://schemas.openxmlformats.org/officeDocument/2006/relationships/printerSettings" Target="../printerSettings/printerSettings147.bin"/><Relationship Id="rId9" Type="http://schemas.openxmlformats.org/officeDocument/2006/relationships/printerSettings" Target="../printerSettings/printerSettings152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4.bin"/><Relationship Id="rId13" Type="http://schemas.openxmlformats.org/officeDocument/2006/relationships/printerSettings" Target="../printerSettings/printerSettings169.bin"/><Relationship Id="rId3" Type="http://schemas.openxmlformats.org/officeDocument/2006/relationships/printerSettings" Target="../printerSettings/printerSettings159.bin"/><Relationship Id="rId7" Type="http://schemas.openxmlformats.org/officeDocument/2006/relationships/printerSettings" Target="../printerSettings/printerSettings163.bin"/><Relationship Id="rId12" Type="http://schemas.openxmlformats.org/officeDocument/2006/relationships/printerSettings" Target="../printerSettings/printerSettings168.bin"/><Relationship Id="rId2" Type="http://schemas.openxmlformats.org/officeDocument/2006/relationships/printerSettings" Target="../printerSettings/printerSettings158.bin"/><Relationship Id="rId1" Type="http://schemas.openxmlformats.org/officeDocument/2006/relationships/printerSettings" Target="../printerSettings/printerSettings157.bin"/><Relationship Id="rId6" Type="http://schemas.openxmlformats.org/officeDocument/2006/relationships/printerSettings" Target="../printerSettings/printerSettings162.bin"/><Relationship Id="rId11" Type="http://schemas.openxmlformats.org/officeDocument/2006/relationships/printerSettings" Target="../printerSettings/printerSettings167.bin"/><Relationship Id="rId5" Type="http://schemas.openxmlformats.org/officeDocument/2006/relationships/printerSettings" Target="../printerSettings/printerSettings161.bin"/><Relationship Id="rId10" Type="http://schemas.openxmlformats.org/officeDocument/2006/relationships/printerSettings" Target="../printerSettings/printerSettings166.bin"/><Relationship Id="rId4" Type="http://schemas.openxmlformats.org/officeDocument/2006/relationships/printerSettings" Target="../printerSettings/printerSettings160.bin"/><Relationship Id="rId9" Type="http://schemas.openxmlformats.org/officeDocument/2006/relationships/printerSettings" Target="../printerSettings/printerSettings165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77.bin"/><Relationship Id="rId13" Type="http://schemas.openxmlformats.org/officeDocument/2006/relationships/printerSettings" Target="../printerSettings/printerSettings182.bin"/><Relationship Id="rId3" Type="http://schemas.openxmlformats.org/officeDocument/2006/relationships/printerSettings" Target="../printerSettings/printerSettings172.bin"/><Relationship Id="rId7" Type="http://schemas.openxmlformats.org/officeDocument/2006/relationships/printerSettings" Target="../printerSettings/printerSettings176.bin"/><Relationship Id="rId12" Type="http://schemas.openxmlformats.org/officeDocument/2006/relationships/printerSettings" Target="../printerSettings/printerSettings181.bin"/><Relationship Id="rId2" Type="http://schemas.openxmlformats.org/officeDocument/2006/relationships/printerSettings" Target="../printerSettings/printerSettings171.bin"/><Relationship Id="rId1" Type="http://schemas.openxmlformats.org/officeDocument/2006/relationships/printerSettings" Target="../printerSettings/printerSettings170.bin"/><Relationship Id="rId6" Type="http://schemas.openxmlformats.org/officeDocument/2006/relationships/printerSettings" Target="../printerSettings/printerSettings175.bin"/><Relationship Id="rId11" Type="http://schemas.openxmlformats.org/officeDocument/2006/relationships/printerSettings" Target="../printerSettings/printerSettings180.bin"/><Relationship Id="rId5" Type="http://schemas.openxmlformats.org/officeDocument/2006/relationships/printerSettings" Target="../printerSettings/printerSettings174.bin"/><Relationship Id="rId10" Type="http://schemas.openxmlformats.org/officeDocument/2006/relationships/printerSettings" Target="../printerSettings/printerSettings179.bin"/><Relationship Id="rId4" Type="http://schemas.openxmlformats.org/officeDocument/2006/relationships/printerSettings" Target="../printerSettings/printerSettings173.bin"/><Relationship Id="rId9" Type="http://schemas.openxmlformats.org/officeDocument/2006/relationships/printerSettings" Target="../printerSettings/printerSettings178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90.bin"/><Relationship Id="rId13" Type="http://schemas.openxmlformats.org/officeDocument/2006/relationships/printerSettings" Target="../printerSettings/printerSettings195.bin"/><Relationship Id="rId3" Type="http://schemas.openxmlformats.org/officeDocument/2006/relationships/printerSettings" Target="../printerSettings/printerSettings185.bin"/><Relationship Id="rId7" Type="http://schemas.openxmlformats.org/officeDocument/2006/relationships/printerSettings" Target="../printerSettings/printerSettings189.bin"/><Relationship Id="rId12" Type="http://schemas.openxmlformats.org/officeDocument/2006/relationships/printerSettings" Target="../printerSettings/printerSettings194.bin"/><Relationship Id="rId2" Type="http://schemas.openxmlformats.org/officeDocument/2006/relationships/printerSettings" Target="../printerSettings/printerSettings184.bin"/><Relationship Id="rId1" Type="http://schemas.openxmlformats.org/officeDocument/2006/relationships/printerSettings" Target="../printerSettings/printerSettings183.bin"/><Relationship Id="rId6" Type="http://schemas.openxmlformats.org/officeDocument/2006/relationships/printerSettings" Target="../printerSettings/printerSettings188.bin"/><Relationship Id="rId11" Type="http://schemas.openxmlformats.org/officeDocument/2006/relationships/printerSettings" Target="../printerSettings/printerSettings193.bin"/><Relationship Id="rId5" Type="http://schemas.openxmlformats.org/officeDocument/2006/relationships/printerSettings" Target="../printerSettings/printerSettings187.bin"/><Relationship Id="rId10" Type="http://schemas.openxmlformats.org/officeDocument/2006/relationships/printerSettings" Target="../printerSettings/printerSettings192.bin"/><Relationship Id="rId4" Type="http://schemas.openxmlformats.org/officeDocument/2006/relationships/printerSettings" Target="../printerSettings/printerSettings186.bin"/><Relationship Id="rId9" Type="http://schemas.openxmlformats.org/officeDocument/2006/relationships/printerSettings" Target="../printerSettings/printerSettings191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03.bin"/><Relationship Id="rId13" Type="http://schemas.openxmlformats.org/officeDocument/2006/relationships/printerSettings" Target="../printerSettings/printerSettings208.bin"/><Relationship Id="rId3" Type="http://schemas.openxmlformats.org/officeDocument/2006/relationships/printerSettings" Target="../printerSettings/printerSettings198.bin"/><Relationship Id="rId7" Type="http://schemas.openxmlformats.org/officeDocument/2006/relationships/printerSettings" Target="../printerSettings/printerSettings202.bin"/><Relationship Id="rId12" Type="http://schemas.openxmlformats.org/officeDocument/2006/relationships/printerSettings" Target="../printerSettings/printerSettings207.bin"/><Relationship Id="rId2" Type="http://schemas.openxmlformats.org/officeDocument/2006/relationships/printerSettings" Target="../printerSettings/printerSettings197.bin"/><Relationship Id="rId1" Type="http://schemas.openxmlformats.org/officeDocument/2006/relationships/printerSettings" Target="../printerSettings/printerSettings196.bin"/><Relationship Id="rId6" Type="http://schemas.openxmlformats.org/officeDocument/2006/relationships/printerSettings" Target="../printerSettings/printerSettings201.bin"/><Relationship Id="rId11" Type="http://schemas.openxmlformats.org/officeDocument/2006/relationships/printerSettings" Target="../printerSettings/printerSettings206.bin"/><Relationship Id="rId5" Type="http://schemas.openxmlformats.org/officeDocument/2006/relationships/printerSettings" Target="../printerSettings/printerSettings200.bin"/><Relationship Id="rId10" Type="http://schemas.openxmlformats.org/officeDocument/2006/relationships/printerSettings" Target="../printerSettings/printerSettings205.bin"/><Relationship Id="rId4" Type="http://schemas.openxmlformats.org/officeDocument/2006/relationships/printerSettings" Target="../printerSettings/printerSettings199.bin"/><Relationship Id="rId9" Type="http://schemas.openxmlformats.org/officeDocument/2006/relationships/printerSettings" Target="../printerSettings/printerSettings204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16.bin"/><Relationship Id="rId13" Type="http://schemas.openxmlformats.org/officeDocument/2006/relationships/printerSettings" Target="../printerSettings/printerSettings221.bin"/><Relationship Id="rId3" Type="http://schemas.openxmlformats.org/officeDocument/2006/relationships/printerSettings" Target="../printerSettings/printerSettings211.bin"/><Relationship Id="rId7" Type="http://schemas.openxmlformats.org/officeDocument/2006/relationships/printerSettings" Target="../printerSettings/printerSettings215.bin"/><Relationship Id="rId12" Type="http://schemas.openxmlformats.org/officeDocument/2006/relationships/printerSettings" Target="../printerSettings/printerSettings220.bin"/><Relationship Id="rId2" Type="http://schemas.openxmlformats.org/officeDocument/2006/relationships/printerSettings" Target="../printerSettings/printerSettings210.bin"/><Relationship Id="rId1" Type="http://schemas.openxmlformats.org/officeDocument/2006/relationships/printerSettings" Target="../printerSettings/printerSettings209.bin"/><Relationship Id="rId6" Type="http://schemas.openxmlformats.org/officeDocument/2006/relationships/printerSettings" Target="../printerSettings/printerSettings214.bin"/><Relationship Id="rId11" Type="http://schemas.openxmlformats.org/officeDocument/2006/relationships/printerSettings" Target="../printerSettings/printerSettings219.bin"/><Relationship Id="rId5" Type="http://schemas.openxmlformats.org/officeDocument/2006/relationships/printerSettings" Target="../printerSettings/printerSettings213.bin"/><Relationship Id="rId10" Type="http://schemas.openxmlformats.org/officeDocument/2006/relationships/printerSettings" Target="../printerSettings/printerSettings218.bin"/><Relationship Id="rId4" Type="http://schemas.openxmlformats.org/officeDocument/2006/relationships/printerSettings" Target="../printerSettings/printerSettings212.bin"/><Relationship Id="rId9" Type="http://schemas.openxmlformats.org/officeDocument/2006/relationships/printerSettings" Target="../printerSettings/printerSettings217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29.bin"/><Relationship Id="rId13" Type="http://schemas.openxmlformats.org/officeDocument/2006/relationships/printerSettings" Target="../printerSettings/printerSettings234.bin"/><Relationship Id="rId3" Type="http://schemas.openxmlformats.org/officeDocument/2006/relationships/printerSettings" Target="../printerSettings/printerSettings224.bin"/><Relationship Id="rId7" Type="http://schemas.openxmlformats.org/officeDocument/2006/relationships/printerSettings" Target="../printerSettings/printerSettings228.bin"/><Relationship Id="rId12" Type="http://schemas.openxmlformats.org/officeDocument/2006/relationships/printerSettings" Target="../printerSettings/printerSettings233.bin"/><Relationship Id="rId2" Type="http://schemas.openxmlformats.org/officeDocument/2006/relationships/printerSettings" Target="../printerSettings/printerSettings223.bin"/><Relationship Id="rId1" Type="http://schemas.openxmlformats.org/officeDocument/2006/relationships/printerSettings" Target="../printerSettings/printerSettings222.bin"/><Relationship Id="rId6" Type="http://schemas.openxmlformats.org/officeDocument/2006/relationships/printerSettings" Target="../printerSettings/printerSettings227.bin"/><Relationship Id="rId11" Type="http://schemas.openxmlformats.org/officeDocument/2006/relationships/printerSettings" Target="../printerSettings/printerSettings232.bin"/><Relationship Id="rId5" Type="http://schemas.openxmlformats.org/officeDocument/2006/relationships/printerSettings" Target="../printerSettings/printerSettings226.bin"/><Relationship Id="rId10" Type="http://schemas.openxmlformats.org/officeDocument/2006/relationships/printerSettings" Target="../printerSettings/printerSettings231.bin"/><Relationship Id="rId4" Type="http://schemas.openxmlformats.org/officeDocument/2006/relationships/printerSettings" Target="../printerSettings/printerSettings225.bin"/><Relationship Id="rId9" Type="http://schemas.openxmlformats.org/officeDocument/2006/relationships/printerSettings" Target="../printerSettings/printerSettings230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42.bin"/><Relationship Id="rId13" Type="http://schemas.openxmlformats.org/officeDocument/2006/relationships/printerSettings" Target="../printerSettings/printerSettings247.bin"/><Relationship Id="rId3" Type="http://schemas.openxmlformats.org/officeDocument/2006/relationships/printerSettings" Target="../printerSettings/printerSettings237.bin"/><Relationship Id="rId7" Type="http://schemas.openxmlformats.org/officeDocument/2006/relationships/printerSettings" Target="../printerSettings/printerSettings241.bin"/><Relationship Id="rId12" Type="http://schemas.openxmlformats.org/officeDocument/2006/relationships/printerSettings" Target="../printerSettings/printerSettings246.bin"/><Relationship Id="rId2" Type="http://schemas.openxmlformats.org/officeDocument/2006/relationships/printerSettings" Target="../printerSettings/printerSettings236.bin"/><Relationship Id="rId1" Type="http://schemas.openxmlformats.org/officeDocument/2006/relationships/printerSettings" Target="../printerSettings/printerSettings235.bin"/><Relationship Id="rId6" Type="http://schemas.openxmlformats.org/officeDocument/2006/relationships/printerSettings" Target="../printerSettings/printerSettings240.bin"/><Relationship Id="rId11" Type="http://schemas.openxmlformats.org/officeDocument/2006/relationships/printerSettings" Target="../printerSettings/printerSettings245.bin"/><Relationship Id="rId5" Type="http://schemas.openxmlformats.org/officeDocument/2006/relationships/printerSettings" Target="../printerSettings/printerSettings239.bin"/><Relationship Id="rId10" Type="http://schemas.openxmlformats.org/officeDocument/2006/relationships/printerSettings" Target="../printerSettings/printerSettings244.bin"/><Relationship Id="rId4" Type="http://schemas.openxmlformats.org/officeDocument/2006/relationships/printerSettings" Target="../printerSettings/printerSettings238.bin"/><Relationship Id="rId9" Type="http://schemas.openxmlformats.org/officeDocument/2006/relationships/printerSettings" Target="../printerSettings/printerSettings243.bin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55.bin"/><Relationship Id="rId13" Type="http://schemas.openxmlformats.org/officeDocument/2006/relationships/printerSettings" Target="../printerSettings/printerSettings260.bin"/><Relationship Id="rId3" Type="http://schemas.openxmlformats.org/officeDocument/2006/relationships/printerSettings" Target="../printerSettings/printerSettings250.bin"/><Relationship Id="rId7" Type="http://schemas.openxmlformats.org/officeDocument/2006/relationships/printerSettings" Target="../printerSettings/printerSettings254.bin"/><Relationship Id="rId12" Type="http://schemas.openxmlformats.org/officeDocument/2006/relationships/printerSettings" Target="../printerSettings/printerSettings259.bin"/><Relationship Id="rId2" Type="http://schemas.openxmlformats.org/officeDocument/2006/relationships/printerSettings" Target="../printerSettings/printerSettings249.bin"/><Relationship Id="rId1" Type="http://schemas.openxmlformats.org/officeDocument/2006/relationships/printerSettings" Target="../printerSettings/printerSettings248.bin"/><Relationship Id="rId6" Type="http://schemas.openxmlformats.org/officeDocument/2006/relationships/printerSettings" Target="../printerSettings/printerSettings253.bin"/><Relationship Id="rId11" Type="http://schemas.openxmlformats.org/officeDocument/2006/relationships/printerSettings" Target="../printerSettings/printerSettings258.bin"/><Relationship Id="rId5" Type="http://schemas.openxmlformats.org/officeDocument/2006/relationships/printerSettings" Target="../printerSettings/printerSettings252.bin"/><Relationship Id="rId10" Type="http://schemas.openxmlformats.org/officeDocument/2006/relationships/printerSettings" Target="../printerSettings/printerSettings257.bin"/><Relationship Id="rId4" Type="http://schemas.openxmlformats.org/officeDocument/2006/relationships/printerSettings" Target="../printerSettings/printerSettings251.bin"/><Relationship Id="rId9" Type="http://schemas.openxmlformats.org/officeDocument/2006/relationships/printerSettings" Target="../printerSettings/printerSettings256.bin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68.bin"/><Relationship Id="rId13" Type="http://schemas.openxmlformats.org/officeDocument/2006/relationships/printerSettings" Target="../printerSettings/printerSettings273.bin"/><Relationship Id="rId3" Type="http://schemas.openxmlformats.org/officeDocument/2006/relationships/printerSettings" Target="../printerSettings/printerSettings263.bin"/><Relationship Id="rId7" Type="http://schemas.openxmlformats.org/officeDocument/2006/relationships/printerSettings" Target="../printerSettings/printerSettings267.bin"/><Relationship Id="rId12" Type="http://schemas.openxmlformats.org/officeDocument/2006/relationships/printerSettings" Target="../printerSettings/printerSettings272.bin"/><Relationship Id="rId2" Type="http://schemas.openxmlformats.org/officeDocument/2006/relationships/printerSettings" Target="../printerSettings/printerSettings262.bin"/><Relationship Id="rId1" Type="http://schemas.openxmlformats.org/officeDocument/2006/relationships/printerSettings" Target="../printerSettings/printerSettings261.bin"/><Relationship Id="rId6" Type="http://schemas.openxmlformats.org/officeDocument/2006/relationships/printerSettings" Target="../printerSettings/printerSettings266.bin"/><Relationship Id="rId11" Type="http://schemas.openxmlformats.org/officeDocument/2006/relationships/printerSettings" Target="../printerSettings/printerSettings271.bin"/><Relationship Id="rId5" Type="http://schemas.openxmlformats.org/officeDocument/2006/relationships/printerSettings" Target="../printerSettings/printerSettings265.bin"/><Relationship Id="rId10" Type="http://schemas.openxmlformats.org/officeDocument/2006/relationships/printerSettings" Target="../printerSettings/printerSettings270.bin"/><Relationship Id="rId4" Type="http://schemas.openxmlformats.org/officeDocument/2006/relationships/printerSettings" Target="../printerSettings/printerSettings264.bin"/><Relationship Id="rId9" Type="http://schemas.openxmlformats.org/officeDocument/2006/relationships/printerSettings" Target="../printerSettings/printerSettings26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5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83.bin"/><Relationship Id="rId13" Type="http://schemas.openxmlformats.org/officeDocument/2006/relationships/printerSettings" Target="../printerSettings/printerSettings288.bin"/><Relationship Id="rId3" Type="http://schemas.openxmlformats.org/officeDocument/2006/relationships/printerSettings" Target="../printerSettings/printerSettings278.bin"/><Relationship Id="rId7" Type="http://schemas.openxmlformats.org/officeDocument/2006/relationships/printerSettings" Target="../printerSettings/printerSettings282.bin"/><Relationship Id="rId12" Type="http://schemas.openxmlformats.org/officeDocument/2006/relationships/printerSettings" Target="../printerSettings/printerSettings287.bin"/><Relationship Id="rId2" Type="http://schemas.openxmlformats.org/officeDocument/2006/relationships/printerSettings" Target="../printerSettings/printerSettings277.bin"/><Relationship Id="rId1" Type="http://schemas.openxmlformats.org/officeDocument/2006/relationships/printerSettings" Target="../printerSettings/printerSettings276.bin"/><Relationship Id="rId6" Type="http://schemas.openxmlformats.org/officeDocument/2006/relationships/printerSettings" Target="../printerSettings/printerSettings281.bin"/><Relationship Id="rId11" Type="http://schemas.openxmlformats.org/officeDocument/2006/relationships/printerSettings" Target="../printerSettings/printerSettings286.bin"/><Relationship Id="rId5" Type="http://schemas.openxmlformats.org/officeDocument/2006/relationships/printerSettings" Target="../printerSettings/printerSettings280.bin"/><Relationship Id="rId10" Type="http://schemas.openxmlformats.org/officeDocument/2006/relationships/printerSettings" Target="../printerSettings/printerSettings285.bin"/><Relationship Id="rId4" Type="http://schemas.openxmlformats.org/officeDocument/2006/relationships/printerSettings" Target="../printerSettings/printerSettings279.bin"/><Relationship Id="rId9" Type="http://schemas.openxmlformats.org/officeDocument/2006/relationships/printerSettings" Target="../printerSettings/printerSettings284.bin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96.bin"/><Relationship Id="rId13" Type="http://schemas.openxmlformats.org/officeDocument/2006/relationships/printerSettings" Target="../printerSettings/printerSettings301.bin"/><Relationship Id="rId3" Type="http://schemas.openxmlformats.org/officeDocument/2006/relationships/printerSettings" Target="../printerSettings/printerSettings291.bin"/><Relationship Id="rId7" Type="http://schemas.openxmlformats.org/officeDocument/2006/relationships/printerSettings" Target="../printerSettings/printerSettings295.bin"/><Relationship Id="rId12" Type="http://schemas.openxmlformats.org/officeDocument/2006/relationships/printerSettings" Target="../printerSettings/printerSettings300.bin"/><Relationship Id="rId2" Type="http://schemas.openxmlformats.org/officeDocument/2006/relationships/printerSettings" Target="../printerSettings/printerSettings290.bin"/><Relationship Id="rId1" Type="http://schemas.openxmlformats.org/officeDocument/2006/relationships/printerSettings" Target="../printerSettings/printerSettings289.bin"/><Relationship Id="rId6" Type="http://schemas.openxmlformats.org/officeDocument/2006/relationships/printerSettings" Target="../printerSettings/printerSettings294.bin"/><Relationship Id="rId11" Type="http://schemas.openxmlformats.org/officeDocument/2006/relationships/printerSettings" Target="../printerSettings/printerSettings299.bin"/><Relationship Id="rId5" Type="http://schemas.openxmlformats.org/officeDocument/2006/relationships/printerSettings" Target="../printerSettings/printerSettings293.bin"/><Relationship Id="rId10" Type="http://schemas.openxmlformats.org/officeDocument/2006/relationships/printerSettings" Target="../printerSettings/printerSettings298.bin"/><Relationship Id="rId4" Type="http://schemas.openxmlformats.org/officeDocument/2006/relationships/printerSettings" Target="../printerSettings/printerSettings292.bin"/><Relationship Id="rId9" Type="http://schemas.openxmlformats.org/officeDocument/2006/relationships/printerSettings" Target="../printerSettings/printerSettings297.bin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09.bin"/><Relationship Id="rId13" Type="http://schemas.openxmlformats.org/officeDocument/2006/relationships/printerSettings" Target="../printerSettings/printerSettings314.bin"/><Relationship Id="rId3" Type="http://schemas.openxmlformats.org/officeDocument/2006/relationships/printerSettings" Target="../printerSettings/printerSettings304.bin"/><Relationship Id="rId7" Type="http://schemas.openxmlformats.org/officeDocument/2006/relationships/printerSettings" Target="../printerSettings/printerSettings308.bin"/><Relationship Id="rId12" Type="http://schemas.openxmlformats.org/officeDocument/2006/relationships/printerSettings" Target="../printerSettings/printerSettings313.bin"/><Relationship Id="rId2" Type="http://schemas.openxmlformats.org/officeDocument/2006/relationships/printerSettings" Target="../printerSettings/printerSettings303.bin"/><Relationship Id="rId1" Type="http://schemas.openxmlformats.org/officeDocument/2006/relationships/printerSettings" Target="../printerSettings/printerSettings302.bin"/><Relationship Id="rId6" Type="http://schemas.openxmlformats.org/officeDocument/2006/relationships/printerSettings" Target="../printerSettings/printerSettings307.bin"/><Relationship Id="rId11" Type="http://schemas.openxmlformats.org/officeDocument/2006/relationships/printerSettings" Target="../printerSettings/printerSettings312.bin"/><Relationship Id="rId5" Type="http://schemas.openxmlformats.org/officeDocument/2006/relationships/printerSettings" Target="../printerSettings/printerSettings306.bin"/><Relationship Id="rId10" Type="http://schemas.openxmlformats.org/officeDocument/2006/relationships/printerSettings" Target="../printerSettings/printerSettings311.bin"/><Relationship Id="rId4" Type="http://schemas.openxmlformats.org/officeDocument/2006/relationships/printerSettings" Target="../printerSettings/printerSettings305.bin"/><Relationship Id="rId9" Type="http://schemas.openxmlformats.org/officeDocument/2006/relationships/printerSettings" Target="../printerSettings/printerSettings310.bin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22.bin"/><Relationship Id="rId13" Type="http://schemas.openxmlformats.org/officeDocument/2006/relationships/printerSettings" Target="../printerSettings/printerSettings327.bin"/><Relationship Id="rId3" Type="http://schemas.openxmlformats.org/officeDocument/2006/relationships/printerSettings" Target="../printerSettings/printerSettings317.bin"/><Relationship Id="rId7" Type="http://schemas.openxmlformats.org/officeDocument/2006/relationships/printerSettings" Target="../printerSettings/printerSettings321.bin"/><Relationship Id="rId12" Type="http://schemas.openxmlformats.org/officeDocument/2006/relationships/printerSettings" Target="../printerSettings/printerSettings326.bin"/><Relationship Id="rId2" Type="http://schemas.openxmlformats.org/officeDocument/2006/relationships/printerSettings" Target="../printerSettings/printerSettings316.bin"/><Relationship Id="rId1" Type="http://schemas.openxmlformats.org/officeDocument/2006/relationships/printerSettings" Target="../printerSettings/printerSettings315.bin"/><Relationship Id="rId6" Type="http://schemas.openxmlformats.org/officeDocument/2006/relationships/printerSettings" Target="../printerSettings/printerSettings320.bin"/><Relationship Id="rId11" Type="http://schemas.openxmlformats.org/officeDocument/2006/relationships/printerSettings" Target="../printerSettings/printerSettings325.bin"/><Relationship Id="rId5" Type="http://schemas.openxmlformats.org/officeDocument/2006/relationships/printerSettings" Target="../printerSettings/printerSettings319.bin"/><Relationship Id="rId10" Type="http://schemas.openxmlformats.org/officeDocument/2006/relationships/printerSettings" Target="../printerSettings/printerSettings324.bin"/><Relationship Id="rId4" Type="http://schemas.openxmlformats.org/officeDocument/2006/relationships/printerSettings" Target="../printerSettings/printerSettings318.bin"/><Relationship Id="rId9" Type="http://schemas.openxmlformats.org/officeDocument/2006/relationships/printerSettings" Target="../printerSettings/printerSettings323.bin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35.bin"/><Relationship Id="rId13" Type="http://schemas.openxmlformats.org/officeDocument/2006/relationships/printerSettings" Target="../printerSettings/printerSettings340.bin"/><Relationship Id="rId3" Type="http://schemas.openxmlformats.org/officeDocument/2006/relationships/printerSettings" Target="../printerSettings/printerSettings330.bin"/><Relationship Id="rId7" Type="http://schemas.openxmlformats.org/officeDocument/2006/relationships/printerSettings" Target="../printerSettings/printerSettings334.bin"/><Relationship Id="rId12" Type="http://schemas.openxmlformats.org/officeDocument/2006/relationships/printerSettings" Target="../printerSettings/printerSettings339.bin"/><Relationship Id="rId2" Type="http://schemas.openxmlformats.org/officeDocument/2006/relationships/printerSettings" Target="../printerSettings/printerSettings329.bin"/><Relationship Id="rId1" Type="http://schemas.openxmlformats.org/officeDocument/2006/relationships/printerSettings" Target="../printerSettings/printerSettings328.bin"/><Relationship Id="rId6" Type="http://schemas.openxmlformats.org/officeDocument/2006/relationships/printerSettings" Target="../printerSettings/printerSettings333.bin"/><Relationship Id="rId11" Type="http://schemas.openxmlformats.org/officeDocument/2006/relationships/printerSettings" Target="../printerSettings/printerSettings338.bin"/><Relationship Id="rId5" Type="http://schemas.openxmlformats.org/officeDocument/2006/relationships/printerSettings" Target="../printerSettings/printerSettings332.bin"/><Relationship Id="rId10" Type="http://schemas.openxmlformats.org/officeDocument/2006/relationships/printerSettings" Target="../printerSettings/printerSettings337.bin"/><Relationship Id="rId4" Type="http://schemas.openxmlformats.org/officeDocument/2006/relationships/printerSettings" Target="../printerSettings/printerSettings331.bin"/><Relationship Id="rId9" Type="http://schemas.openxmlformats.org/officeDocument/2006/relationships/printerSettings" Target="../printerSettings/printerSettings336.bin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48.bin"/><Relationship Id="rId13" Type="http://schemas.openxmlformats.org/officeDocument/2006/relationships/printerSettings" Target="../printerSettings/printerSettings353.bin"/><Relationship Id="rId3" Type="http://schemas.openxmlformats.org/officeDocument/2006/relationships/printerSettings" Target="../printerSettings/printerSettings343.bin"/><Relationship Id="rId7" Type="http://schemas.openxmlformats.org/officeDocument/2006/relationships/printerSettings" Target="../printerSettings/printerSettings347.bin"/><Relationship Id="rId12" Type="http://schemas.openxmlformats.org/officeDocument/2006/relationships/printerSettings" Target="../printerSettings/printerSettings352.bin"/><Relationship Id="rId2" Type="http://schemas.openxmlformats.org/officeDocument/2006/relationships/printerSettings" Target="../printerSettings/printerSettings342.bin"/><Relationship Id="rId1" Type="http://schemas.openxmlformats.org/officeDocument/2006/relationships/printerSettings" Target="../printerSettings/printerSettings341.bin"/><Relationship Id="rId6" Type="http://schemas.openxmlformats.org/officeDocument/2006/relationships/printerSettings" Target="../printerSettings/printerSettings346.bin"/><Relationship Id="rId11" Type="http://schemas.openxmlformats.org/officeDocument/2006/relationships/printerSettings" Target="../printerSettings/printerSettings351.bin"/><Relationship Id="rId5" Type="http://schemas.openxmlformats.org/officeDocument/2006/relationships/printerSettings" Target="../printerSettings/printerSettings345.bin"/><Relationship Id="rId10" Type="http://schemas.openxmlformats.org/officeDocument/2006/relationships/printerSettings" Target="../printerSettings/printerSettings350.bin"/><Relationship Id="rId4" Type="http://schemas.openxmlformats.org/officeDocument/2006/relationships/printerSettings" Target="../printerSettings/printerSettings344.bin"/><Relationship Id="rId9" Type="http://schemas.openxmlformats.org/officeDocument/2006/relationships/printerSettings" Target="../printerSettings/printerSettings349.bin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61.bin"/><Relationship Id="rId13" Type="http://schemas.openxmlformats.org/officeDocument/2006/relationships/printerSettings" Target="../printerSettings/printerSettings366.bin"/><Relationship Id="rId3" Type="http://schemas.openxmlformats.org/officeDocument/2006/relationships/printerSettings" Target="../printerSettings/printerSettings356.bin"/><Relationship Id="rId7" Type="http://schemas.openxmlformats.org/officeDocument/2006/relationships/printerSettings" Target="../printerSettings/printerSettings360.bin"/><Relationship Id="rId12" Type="http://schemas.openxmlformats.org/officeDocument/2006/relationships/printerSettings" Target="../printerSettings/printerSettings365.bin"/><Relationship Id="rId2" Type="http://schemas.openxmlformats.org/officeDocument/2006/relationships/printerSettings" Target="../printerSettings/printerSettings355.bin"/><Relationship Id="rId1" Type="http://schemas.openxmlformats.org/officeDocument/2006/relationships/printerSettings" Target="../printerSettings/printerSettings354.bin"/><Relationship Id="rId6" Type="http://schemas.openxmlformats.org/officeDocument/2006/relationships/printerSettings" Target="../printerSettings/printerSettings359.bin"/><Relationship Id="rId11" Type="http://schemas.openxmlformats.org/officeDocument/2006/relationships/printerSettings" Target="../printerSettings/printerSettings364.bin"/><Relationship Id="rId5" Type="http://schemas.openxmlformats.org/officeDocument/2006/relationships/printerSettings" Target="../printerSettings/printerSettings358.bin"/><Relationship Id="rId10" Type="http://schemas.openxmlformats.org/officeDocument/2006/relationships/printerSettings" Target="../printerSettings/printerSettings363.bin"/><Relationship Id="rId4" Type="http://schemas.openxmlformats.org/officeDocument/2006/relationships/printerSettings" Target="../printerSettings/printerSettings357.bin"/><Relationship Id="rId9" Type="http://schemas.openxmlformats.org/officeDocument/2006/relationships/printerSettings" Target="../printerSettings/printerSettings362.bin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74.bin"/><Relationship Id="rId13" Type="http://schemas.openxmlformats.org/officeDocument/2006/relationships/printerSettings" Target="../printerSettings/printerSettings379.bin"/><Relationship Id="rId3" Type="http://schemas.openxmlformats.org/officeDocument/2006/relationships/printerSettings" Target="../printerSettings/printerSettings369.bin"/><Relationship Id="rId7" Type="http://schemas.openxmlformats.org/officeDocument/2006/relationships/printerSettings" Target="../printerSettings/printerSettings373.bin"/><Relationship Id="rId12" Type="http://schemas.openxmlformats.org/officeDocument/2006/relationships/printerSettings" Target="../printerSettings/printerSettings378.bin"/><Relationship Id="rId2" Type="http://schemas.openxmlformats.org/officeDocument/2006/relationships/printerSettings" Target="../printerSettings/printerSettings368.bin"/><Relationship Id="rId1" Type="http://schemas.openxmlformats.org/officeDocument/2006/relationships/printerSettings" Target="../printerSettings/printerSettings367.bin"/><Relationship Id="rId6" Type="http://schemas.openxmlformats.org/officeDocument/2006/relationships/printerSettings" Target="../printerSettings/printerSettings372.bin"/><Relationship Id="rId11" Type="http://schemas.openxmlformats.org/officeDocument/2006/relationships/printerSettings" Target="../printerSettings/printerSettings377.bin"/><Relationship Id="rId5" Type="http://schemas.openxmlformats.org/officeDocument/2006/relationships/printerSettings" Target="../printerSettings/printerSettings371.bin"/><Relationship Id="rId10" Type="http://schemas.openxmlformats.org/officeDocument/2006/relationships/printerSettings" Target="../printerSettings/printerSettings376.bin"/><Relationship Id="rId4" Type="http://schemas.openxmlformats.org/officeDocument/2006/relationships/printerSettings" Target="../printerSettings/printerSettings370.bin"/><Relationship Id="rId9" Type="http://schemas.openxmlformats.org/officeDocument/2006/relationships/printerSettings" Target="../printerSettings/printerSettings375.bin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87.bin"/><Relationship Id="rId13" Type="http://schemas.openxmlformats.org/officeDocument/2006/relationships/printerSettings" Target="../printerSettings/printerSettings392.bin"/><Relationship Id="rId3" Type="http://schemas.openxmlformats.org/officeDocument/2006/relationships/printerSettings" Target="../printerSettings/printerSettings382.bin"/><Relationship Id="rId7" Type="http://schemas.openxmlformats.org/officeDocument/2006/relationships/printerSettings" Target="../printerSettings/printerSettings386.bin"/><Relationship Id="rId12" Type="http://schemas.openxmlformats.org/officeDocument/2006/relationships/printerSettings" Target="../printerSettings/printerSettings391.bin"/><Relationship Id="rId2" Type="http://schemas.openxmlformats.org/officeDocument/2006/relationships/printerSettings" Target="../printerSettings/printerSettings381.bin"/><Relationship Id="rId1" Type="http://schemas.openxmlformats.org/officeDocument/2006/relationships/printerSettings" Target="../printerSettings/printerSettings380.bin"/><Relationship Id="rId6" Type="http://schemas.openxmlformats.org/officeDocument/2006/relationships/printerSettings" Target="../printerSettings/printerSettings385.bin"/><Relationship Id="rId11" Type="http://schemas.openxmlformats.org/officeDocument/2006/relationships/printerSettings" Target="../printerSettings/printerSettings390.bin"/><Relationship Id="rId5" Type="http://schemas.openxmlformats.org/officeDocument/2006/relationships/printerSettings" Target="../printerSettings/printerSettings384.bin"/><Relationship Id="rId10" Type="http://schemas.openxmlformats.org/officeDocument/2006/relationships/printerSettings" Target="../printerSettings/printerSettings389.bin"/><Relationship Id="rId4" Type="http://schemas.openxmlformats.org/officeDocument/2006/relationships/printerSettings" Target="../printerSettings/printerSettings383.bin"/><Relationship Id="rId9" Type="http://schemas.openxmlformats.org/officeDocument/2006/relationships/printerSettings" Target="../printerSettings/printerSettings388.bin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00.bin"/><Relationship Id="rId13" Type="http://schemas.openxmlformats.org/officeDocument/2006/relationships/printerSettings" Target="../printerSettings/printerSettings405.bin"/><Relationship Id="rId3" Type="http://schemas.openxmlformats.org/officeDocument/2006/relationships/printerSettings" Target="../printerSettings/printerSettings395.bin"/><Relationship Id="rId7" Type="http://schemas.openxmlformats.org/officeDocument/2006/relationships/printerSettings" Target="../printerSettings/printerSettings399.bin"/><Relationship Id="rId12" Type="http://schemas.openxmlformats.org/officeDocument/2006/relationships/printerSettings" Target="../printerSettings/printerSettings404.bin"/><Relationship Id="rId2" Type="http://schemas.openxmlformats.org/officeDocument/2006/relationships/printerSettings" Target="../printerSettings/printerSettings394.bin"/><Relationship Id="rId1" Type="http://schemas.openxmlformats.org/officeDocument/2006/relationships/printerSettings" Target="../printerSettings/printerSettings393.bin"/><Relationship Id="rId6" Type="http://schemas.openxmlformats.org/officeDocument/2006/relationships/printerSettings" Target="../printerSettings/printerSettings398.bin"/><Relationship Id="rId11" Type="http://schemas.openxmlformats.org/officeDocument/2006/relationships/printerSettings" Target="../printerSettings/printerSettings403.bin"/><Relationship Id="rId5" Type="http://schemas.openxmlformats.org/officeDocument/2006/relationships/printerSettings" Target="../printerSettings/printerSettings397.bin"/><Relationship Id="rId10" Type="http://schemas.openxmlformats.org/officeDocument/2006/relationships/printerSettings" Target="../printerSettings/printerSettings402.bin"/><Relationship Id="rId4" Type="http://schemas.openxmlformats.org/officeDocument/2006/relationships/printerSettings" Target="../printerSettings/printerSettings396.bin"/><Relationship Id="rId9" Type="http://schemas.openxmlformats.org/officeDocument/2006/relationships/printerSettings" Target="../printerSettings/printerSettings401.bin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13.bin"/><Relationship Id="rId13" Type="http://schemas.openxmlformats.org/officeDocument/2006/relationships/printerSettings" Target="../printerSettings/printerSettings418.bin"/><Relationship Id="rId3" Type="http://schemas.openxmlformats.org/officeDocument/2006/relationships/printerSettings" Target="../printerSettings/printerSettings408.bin"/><Relationship Id="rId7" Type="http://schemas.openxmlformats.org/officeDocument/2006/relationships/printerSettings" Target="../printerSettings/printerSettings412.bin"/><Relationship Id="rId12" Type="http://schemas.openxmlformats.org/officeDocument/2006/relationships/printerSettings" Target="../printerSettings/printerSettings417.bin"/><Relationship Id="rId2" Type="http://schemas.openxmlformats.org/officeDocument/2006/relationships/printerSettings" Target="../printerSettings/printerSettings407.bin"/><Relationship Id="rId1" Type="http://schemas.openxmlformats.org/officeDocument/2006/relationships/printerSettings" Target="../printerSettings/printerSettings406.bin"/><Relationship Id="rId6" Type="http://schemas.openxmlformats.org/officeDocument/2006/relationships/printerSettings" Target="../printerSettings/printerSettings411.bin"/><Relationship Id="rId11" Type="http://schemas.openxmlformats.org/officeDocument/2006/relationships/printerSettings" Target="../printerSettings/printerSettings416.bin"/><Relationship Id="rId5" Type="http://schemas.openxmlformats.org/officeDocument/2006/relationships/printerSettings" Target="../printerSettings/printerSettings410.bin"/><Relationship Id="rId10" Type="http://schemas.openxmlformats.org/officeDocument/2006/relationships/printerSettings" Target="../printerSettings/printerSettings415.bin"/><Relationship Id="rId4" Type="http://schemas.openxmlformats.org/officeDocument/2006/relationships/printerSettings" Target="../printerSettings/printerSettings409.bin"/><Relationship Id="rId9" Type="http://schemas.openxmlformats.org/officeDocument/2006/relationships/printerSettings" Target="../printerSettings/printerSettings414.bin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26.bin"/><Relationship Id="rId13" Type="http://schemas.openxmlformats.org/officeDocument/2006/relationships/printerSettings" Target="../printerSettings/printerSettings431.bin"/><Relationship Id="rId3" Type="http://schemas.openxmlformats.org/officeDocument/2006/relationships/printerSettings" Target="../printerSettings/printerSettings421.bin"/><Relationship Id="rId7" Type="http://schemas.openxmlformats.org/officeDocument/2006/relationships/printerSettings" Target="../printerSettings/printerSettings425.bin"/><Relationship Id="rId12" Type="http://schemas.openxmlformats.org/officeDocument/2006/relationships/printerSettings" Target="../printerSettings/printerSettings430.bin"/><Relationship Id="rId2" Type="http://schemas.openxmlformats.org/officeDocument/2006/relationships/printerSettings" Target="../printerSettings/printerSettings420.bin"/><Relationship Id="rId1" Type="http://schemas.openxmlformats.org/officeDocument/2006/relationships/printerSettings" Target="../printerSettings/printerSettings419.bin"/><Relationship Id="rId6" Type="http://schemas.openxmlformats.org/officeDocument/2006/relationships/printerSettings" Target="../printerSettings/printerSettings424.bin"/><Relationship Id="rId11" Type="http://schemas.openxmlformats.org/officeDocument/2006/relationships/printerSettings" Target="../printerSettings/printerSettings429.bin"/><Relationship Id="rId5" Type="http://schemas.openxmlformats.org/officeDocument/2006/relationships/printerSettings" Target="../printerSettings/printerSettings423.bin"/><Relationship Id="rId10" Type="http://schemas.openxmlformats.org/officeDocument/2006/relationships/printerSettings" Target="../printerSettings/printerSettings428.bin"/><Relationship Id="rId4" Type="http://schemas.openxmlformats.org/officeDocument/2006/relationships/printerSettings" Target="../printerSettings/printerSettings422.bin"/><Relationship Id="rId9" Type="http://schemas.openxmlformats.org/officeDocument/2006/relationships/printerSettings" Target="../printerSettings/printerSettings427.bin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39.bin"/><Relationship Id="rId13" Type="http://schemas.openxmlformats.org/officeDocument/2006/relationships/printerSettings" Target="../printerSettings/printerSettings444.bin"/><Relationship Id="rId3" Type="http://schemas.openxmlformats.org/officeDocument/2006/relationships/printerSettings" Target="../printerSettings/printerSettings434.bin"/><Relationship Id="rId7" Type="http://schemas.openxmlformats.org/officeDocument/2006/relationships/printerSettings" Target="../printerSettings/printerSettings438.bin"/><Relationship Id="rId12" Type="http://schemas.openxmlformats.org/officeDocument/2006/relationships/printerSettings" Target="../printerSettings/printerSettings443.bin"/><Relationship Id="rId2" Type="http://schemas.openxmlformats.org/officeDocument/2006/relationships/printerSettings" Target="../printerSettings/printerSettings433.bin"/><Relationship Id="rId1" Type="http://schemas.openxmlformats.org/officeDocument/2006/relationships/printerSettings" Target="../printerSettings/printerSettings432.bin"/><Relationship Id="rId6" Type="http://schemas.openxmlformats.org/officeDocument/2006/relationships/printerSettings" Target="../printerSettings/printerSettings437.bin"/><Relationship Id="rId11" Type="http://schemas.openxmlformats.org/officeDocument/2006/relationships/printerSettings" Target="../printerSettings/printerSettings442.bin"/><Relationship Id="rId5" Type="http://schemas.openxmlformats.org/officeDocument/2006/relationships/printerSettings" Target="../printerSettings/printerSettings436.bin"/><Relationship Id="rId10" Type="http://schemas.openxmlformats.org/officeDocument/2006/relationships/printerSettings" Target="../printerSettings/printerSettings441.bin"/><Relationship Id="rId4" Type="http://schemas.openxmlformats.org/officeDocument/2006/relationships/printerSettings" Target="../printerSettings/printerSettings435.bin"/><Relationship Id="rId9" Type="http://schemas.openxmlformats.org/officeDocument/2006/relationships/printerSettings" Target="../printerSettings/printerSettings440.bin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52.bin"/><Relationship Id="rId13" Type="http://schemas.openxmlformats.org/officeDocument/2006/relationships/printerSettings" Target="../printerSettings/printerSettings457.bin"/><Relationship Id="rId3" Type="http://schemas.openxmlformats.org/officeDocument/2006/relationships/printerSettings" Target="../printerSettings/printerSettings447.bin"/><Relationship Id="rId7" Type="http://schemas.openxmlformats.org/officeDocument/2006/relationships/printerSettings" Target="../printerSettings/printerSettings451.bin"/><Relationship Id="rId12" Type="http://schemas.openxmlformats.org/officeDocument/2006/relationships/printerSettings" Target="../printerSettings/printerSettings456.bin"/><Relationship Id="rId2" Type="http://schemas.openxmlformats.org/officeDocument/2006/relationships/printerSettings" Target="../printerSettings/printerSettings446.bin"/><Relationship Id="rId1" Type="http://schemas.openxmlformats.org/officeDocument/2006/relationships/printerSettings" Target="../printerSettings/printerSettings445.bin"/><Relationship Id="rId6" Type="http://schemas.openxmlformats.org/officeDocument/2006/relationships/printerSettings" Target="../printerSettings/printerSettings450.bin"/><Relationship Id="rId11" Type="http://schemas.openxmlformats.org/officeDocument/2006/relationships/printerSettings" Target="../printerSettings/printerSettings455.bin"/><Relationship Id="rId5" Type="http://schemas.openxmlformats.org/officeDocument/2006/relationships/printerSettings" Target="../printerSettings/printerSettings449.bin"/><Relationship Id="rId10" Type="http://schemas.openxmlformats.org/officeDocument/2006/relationships/printerSettings" Target="../printerSettings/printerSettings454.bin"/><Relationship Id="rId4" Type="http://schemas.openxmlformats.org/officeDocument/2006/relationships/printerSettings" Target="../printerSettings/printerSettings448.bin"/><Relationship Id="rId9" Type="http://schemas.openxmlformats.org/officeDocument/2006/relationships/printerSettings" Target="../printerSettings/printerSettings453.bin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65.bin"/><Relationship Id="rId13" Type="http://schemas.openxmlformats.org/officeDocument/2006/relationships/printerSettings" Target="../printerSettings/printerSettings470.bin"/><Relationship Id="rId3" Type="http://schemas.openxmlformats.org/officeDocument/2006/relationships/printerSettings" Target="../printerSettings/printerSettings460.bin"/><Relationship Id="rId7" Type="http://schemas.openxmlformats.org/officeDocument/2006/relationships/printerSettings" Target="../printerSettings/printerSettings464.bin"/><Relationship Id="rId12" Type="http://schemas.openxmlformats.org/officeDocument/2006/relationships/printerSettings" Target="../printerSettings/printerSettings469.bin"/><Relationship Id="rId2" Type="http://schemas.openxmlformats.org/officeDocument/2006/relationships/printerSettings" Target="../printerSettings/printerSettings459.bin"/><Relationship Id="rId1" Type="http://schemas.openxmlformats.org/officeDocument/2006/relationships/printerSettings" Target="../printerSettings/printerSettings458.bin"/><Relationship Id="rId6" Type="http://schemas.openxmlformats.org/officeDocument/2006/relationships/printerSettings" Target="../printerSettings/printerSettings463.bin"/><Relationship Id="rId11" Type="http://schemas.openxmlformats.org/officeDocument/2006/relationships/printerSettings" Target="../printerSettings/printerSettings468.bin"/><Relationship Id="rId5" Type="http://schemas.openxmlformats.org/officeDocument/2006/relationships/printerSettings" Target="../printerSettings/printerSettings462.bin"/><Relationship Id="rId10" Type="http://schemas.openxmlformats.org/officeDocument/2006/relationships/printerSettings" Target="../printerSettings/printerSettings467.bin"/><Relationship Id="rId4" Type="http://schemas.openxmlformats.org/officeDocument/2006/relationships/printerSettings" Target="../printerSettings/printerSettings461.bin"/><Relationship Id="rId9" Type="http://schemas.openxmlformats.org/officeDocument/2006/relationships/printerSettings" Target="../printerSettings/printerSettings466.bin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78.bin"/><Relationship Id="rId13" Type="http://schemas.openxmlformats.org/officeDocument/2006/relationships/printerSettings" Target="../printerSettings/printerSettings483.bin"/><Relationship Id="rId3" Type="http://schemas.openxmlformats.org/officeDocument/2006/relationships/printerSettings" Target="../printerSettings/printerSettings473.bin"/><Relationship Id="rId7" Type="http://schemas.openxmlformats.org/officeDocument/2006/relationships/printerSettings" Target="../printerSettings/printerSettings477.bin"/><Relationship Id="rId12" Type="http://schemas.openxmlformats.org/officeDocument/2006/relationships/printerSettings" Target="../printerSettings/printerSettings482.bin"/><Relationship Id="rId2" Type="http://schemas.openxmlformats.org/officeDocument/2006/relationships/printerSettings" Target="../printerSettings/printerSettings472.bin"/><Relationship Id="rId1" Type="http://schemas.openxmlformats.org/officeDocument/2006/relationships/printerSettings" Target="../printerSettings/printerSettings471.bin"/><Relationship Id="rId6" Type="http://schemas.openxmlformats.org/officeDocument/2006/relationships/printerSettings" Target="../printerSettings/printerSettings476.bin"/><Relationship Id="rId11" Type="http://schemas.openxmlformats.org/officeDocument/2006/relationships/printerSettings" Target="../printerSettings/printerSettings481.bin"/><Relationship Id="rId5" Type="http://schemas.openxmlformats.org/officeDocument/2006/relationships/printerSettings" Target="../printerSettings/printerSettings475.bin"/><Relationship Id="rId10" Type="http://schemas.openxmlformats.org/officeDocument/2006/relationships/printerSettings" Target="../printerSettings/printerSettings480.bin"/><Relationship Id="rId4" Type="http://schemas.openxmlformats.org/officeDocument/2006/relationships/printerSettings" Target="../printerSettings/printerSettings474.bin"/><Relationship Id="rId9" Type="http://schemas.openxmlformats.org/officeDocument/2006/relationships/printerSettings" Target="../printerSettings/printerSettings47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1"/>
  <dimension ref="A1:K165"/>
  <sheetViews>
    <sheetView zoomScale="80" zoomScaleNormal="80" zoomScaleSheetLayoutView="40" workbookViewId="0">
      <pane ySplit="1" topLeftCell="A2" activePane="bottomLeft" state="frozen"/>
      <selection pane="bottomLeft" activeCell="F20" sqref="F20"/>
    </sheetView>
  </sheetViews>
  <sheetFormatPr defaultRowHeight="12.75" x14ac:dyDescent="0.2"/>
  <cols>
    <col min="1" max="1" width="12.28515625" style="1" customWidth="1"/>
    <col min="2" max="8" width="29.28515625" customWidth="1"/>
    <col min="9" max="9" width="30.7109375" customWidth="1"/>
  </cols>
  <sheetData>
    <row r="1" spans="1:9" ht="32.25" customHeight="1" thickBot="1" x14ac:dyDescent="0.25">
      <c r="A1" s="2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/>
    </row>
    <row r="2" spans="1:9" ht="15" customHeight="1" x14ac:dyDescent="0.2">
      <c r="A2" s="3"/>
      <c r="B2" s="13" t="s">
        <v>7</v>
      </c>
      <c r="C2" s="17" t="s">
        <v>8</v>
      </c>
      <c r="D2" s="17" t="s">
        <v>9</v>
      </c>
      <c r="E2" s="13" t="s">
        <v>10</v>
      </c>
      <c r="F2" s="13" t="s">
        <v>11</v>
      </c>
      <c r="G2" s="8"/>
      <c r="H2" s="8"/>
      <c r="I2" s="5"/>
    </row>
    <row r="3" spans="1:9" ht="15" customHeight="1" x14ac:dyDescent="0.2">
      <c r="A3" s="3"/>
      <c r="B3" s="13" t="s">
        <v>12</v>
      </c>
      <c r="C3" s="13" t="s">
        <v>13</v>
      </c>
      <c r="D3" s="6"/>
      <c r="E3" s="13" t="s">
        <v>14</v>
      </c>
      <c r="F3" s="17" t="s">
        <v>15</v>
      </c>
      <c r="G3" s="6"/>
      <c r="H3" s="6"/>
      <c r="I3" s="5"/>
    </row>
    <row r="4" spans="1:9" ht="15" customHeight="1" x14ac:dyDescent="0.2">
      <c r="A4" s="3"/>
      <c r="B4" s="13" t="s">
        <v>16</v>
      </c>
      <c r="C4" s="6"/>
      <c r="D4" s="6"/>
      <c r="E4" s="6"/>
      <c r="F4" s="6" t="s">
        <v>17</v>
      </c>
      <c r="G4" s="6"/>
      <c r="H4" s="6"/>
      <c r="I4" s="5"/>
    </row>
    <row r="5" spans="1:9" ht="15" customHeight="1" x14ac:dyDescent="0.2">
      <c r="A5" s="3" t="s">
        <v>18</v>
      </c>
      <c r="B5" s="6"/>
      <c r="C5" s="6"/>
      <c r="D5" s="6"/>
      <c r="E5" s="6"/>
      <c r="F5" s="6"/>
      <c r="G5" s="6"/>
      <c r="H5" s="6"/>
    </row>
    <row r="6" spans="1:9" ht="15" customHeight="1" x14ac:dyDescent="0.2">
      <c r="A6" s="39" t="s">
        <v>19</v>
      </c>
      <c r="B6" s="6"/>
      <c r="C6" s="6"/>
      <c r="D6" s="6"/>
      <c r="E6" s="6"/>
      <c r="F6" s="6"/>
      <c r="G6" s="6"/>
      <c r="H6" s="6"/>
    </row>
    <row r="7" spans="1:9" ht="15" customHeight="1" x14ac:dyDescent="0.2">
      <c r="B7" s="25"/>
      <c r="C7" s="25"/>
      <c r="D7" s="25"/>
      <c r="E7" s="25"/>
      <c r="F7" s="25"/>
      <c r="G7" s="25"/>
      <c r="H7" s="25"/>
    </row>
    <row r="8" spans="1:9" ht="15" customHeight="1" thickBot="1" x14ac:dyDescent="0.25">
      <c r="A8" s="14" t="s">
        <v>20</v>
      </c>
      <c r="B8" s="15" t="s">
        <v>21</v>
      </c>
      <c r="C8" s="15" t="s">
        <v>21</v>
      </c>
      <c r="D8" s="15" t="s">
        <v>21</v>
      </c>
      <c r="E8" s="34" t="s">
        <v>22</v>
      </c>
      <c r="F8" s="15" t="s">
        <v>21</v>
      </c>
      <c r="G8" s="16"/>
      <c r="H8" s="16"/>
    </row>
    <row r="9" spans="1:9" ht="15" customHeight="1" thickTop="1" x14ac:dyDescent="0.2">
      <c r="B9" s="12" t="s">
        <v>23</v>
      </c>
      <c r="C9" s="12" t="s">
        <v>24</v>
      </c>
      <c r="D9" s="35" t="s">
        <v>25</v>
      </c>
      <c r="E9" s="60" t="s">
        <v>26</v>
      </c>
      <c r="F9" s="200" t="s">
        <v>27</v>
      </c>
      <c r="G9" s="6"/>
      <c r="H9" s="6"/>
    </row>
    <row r="10" spans="1:9" ht="15" customHeight="1" x14ac:dyDescent="0.2">
      <c r="B10" s="6"/>
      <c r="C10" s="6"/>
      <c r="D10" s="36"/>
      <c r="E10" s="61" t="s">
        <v>26</v>
      </c>
      <c r="F10" s="126"/>
      <c r="G10" s="6"/>
      <c r="H10" s="6"/>
    </row>
    <row r="11" spans="1:9" ht="15" customHeight="1" x14ac:dyDescent="0.2">
      <c r="B11" s="6"/>
      <c r="C11" s="6"/>
      <c r="D11" s="17" t="s">
        <v>28</v>
      </c>
      <c r="E11" s="43" t="s">
        <v>26</v>
      </c>
      <c r="F11" s="124"/>
      <c r="G11" s="6"/>
      <c r="H11" s="6"/>
    </row>
    <row r="12" spans="1:9" ht="15" customHeight="1" x14ac:dyDescent="0.2">
      <c r="A12" s="2" t="s">
        <v>18</v>
      </c>
      <c r="B12" s="6"/>
      <c r="C12" s="6"/>
      <c r="D12" s="6"/>
      <c r="E12" s="43" t="s">
        <v>29</v>
      </c>
      <c r="F12" s="124"/>
      <c r="G12" s="6"/>
      <c r="H12" s="6"/>
    </row>
    <row r="13" spans="1:9" ht="15" customHeight="1" x14ac:dyDescent="0.2">
      <c r="A13" s="2" t="s">
        <v>30</v>
      </c>
      <c r="B13" s="6"/>
      <c r="C13" s="6"/>
      <c r="D13" s="6"/>
      <c r="E13" s="32"/>
      <c r="F13" s="124"/>
      <c r="G13" s="6"/>
      <c r="H13" s="6"/>
    </row>
    <row r="14" spans="1:9" ht="15" customHeight="1" x14ac:dyDescent="0.2">
      <c r="B14" s="25"/>
      <c r="C14" s="25"/>
      <c r="D14" s="25"/>
      <c r="E14" s="56"/>
      <c r="F14" s="125"/>
      <c r="G14" s="25"/>
      <c r="H14" s="25"/>
    </row>
    <row r="15" spans="1:9" ht="15" customHeight="1" thickBot="1" x14ac:dyDescent="0.25">
      <c r="A15" s="14" t="s">
        <v>20</v>
      </c>
      <c r="B15" s="15" t="s">
        <v>31</v>
      </c>
      <c r="C15" s="15" t="s">
        <v>31</v>
      </c>
      <c r="D15" s="15" t="s">
        <v>32</v>
      </c>
      <c r="E15" s="52" t="s">
        <v>31</v>
      </c>
      <c r="F15" s="194" t="s">
        <v>31</v>
      </c>
      <c r="G15" s="16"/>
      <c r="H15" s="16"/>
    </row>
    <row r="16" spans="1:9" ht="15" customHeight="1" thickTop="1" x14ac:dyDescent="0.2">
      <c r="B16" s="13"/>
      <c r="C16" s="13" t="s">
        <v>33</v>
      </c>
      <c r="D16" s="17" t="s">
        <v>34</v>
      </c>
      <c r="E16" s="6"/>
      <c r="F16" s="17" t="s">
        <v>35</v>
      </c>
      <c r="G16" s="6"/>
      <c r="H16" s="6"/>
    </row>
    <row r="17" spans="1:11" ht="15" customHeight="1" x14ac:dyDescent="0.2">
      <c r="B17" s="6"/>
      <c r="C17" s="27" t="s">
        <v>36</v>
      </c>
      <c r="D17" s="17" t="s">
        <v>37</v>
      </c>
      <c r="E17" s="6"/>
      <c r="F17" s="17" t="s">
        <v>38</v>
      </c>
      <c r="G17" s="6"/>
      <c r="H17" s="6"/>
    </row>
    <row r="18" spans="1:11" ht="15" customHeight="1" x14ac:dyDescent="0.2">
      <c r="B18" s="13" t="s">
        <v>36</v>
      </c>
      <c r="C18" s="6"/>
      <c r="D18" s="6" t="s">
        <v>39</v>
      </c>
      <c r="E18" s="17" t="s">
        <v>40</v>
      </c>
      <c r="F18" s="6"/>
      <c r="G18" s="6"/>
      <c r="H18" s="6"/>
    </row>
    <row r="19" spans="1:11" ht="15" customHeight="1" x14ac:dyDescent="0.2">
      <c r="A19" s="2" t="s">
        <v>41</v>
      </c>
      <c r="B19" s="6"/>
      <c r="C19" s="6"/>
      <c r="D19" s="13"/>
      <c r="E19" s="6"/>
      <c r="F19" s="13" t="s">
        <v>42</v>
      </c>
      <c r="G19" s="6"/>
      <c r="H19" s="6"/>
    </row>
    <row r="20" spans="1:11" ht="15" customHeight="1" x14ac:dyDescent="0.2">
      <c r="A20" s="2" t="s">
        <v>43</v>
      </c>
      <c r="B20" s="13" t="s">
        <v>44</v>
      </c>
      <c r="C20" s="6"/>
      <c r="D20" s="6"/>
      <c r="E20" s="6"/>
      <c r="F20" s="6"/>
      <c r="G20" s="6"/>
      <c r="H20" s="32"/>
      <c r="I20" s="7"/>
      <c r="K20" s="7"/>
    </row>
    <row r="21" spans="1:11" x14ac:dyDescent="0.2">
      <c r="B21" s="25"/>
      <c r="C21" s="25"/>
      <c r="D21" s="25"/>
      <c r="E21" s="25"/>
      <c r="F21" s="25"/>
      <c r="G21" s="25"/>
      <c r="H21" s="25"/>
    </row>
    <row r="22" spans="1:11" ht="13.5" thickBot="1" x14ac:dyDescent="0.25">
      <c r="A22" s="14" t="s">
        <v>20</v>
      </c>
      <c r="B22" s="15" t="s">
        <v>45</v>
      </c>
      <c r="C22" s="15" t="s">
        <v>45</v>
      </c>
      <c r="D22" s="15" t="s">
        <v>45</v>
      </c>
      <c r="E22" s="15" t="s">
        <v>46</v>
      </c>
      <c r="F22" s="15" t="s">
        <v>45</v>
      </c>
      <c r="G22" s="16"/>
      <c r="H22" s="16"/>
    </row>
    <row r="23" spans="1:11" ht="13.5" thickTop="1" x14ac:dyDescent="0.2">
      <c r="B23" s="13" t="s">
        <v>47</v>
      </c>
      <c r="C23" s="13" t="s">
        <v>48</v>
      </c>
      <c r="D23" s="13" t="s">
        <v>48</v>
      </c>
      <c r="E23" s="13" t="s">
        <v>48</v>
      </c>
      <c r="F23" s="17" t="s">
        <v>49</v>
      </c>
      <c r="G23" s="6"/>
      <c r="H23" s="6"/>
    </row>
    <row r="24" spans="1:11" x14ac:dyDescent="0.2">
      <c r="B24" s="6"/>
      <c r="C24" s="6"/>
      <c r="D24" s="6"/>
      <c r="E24" s="6"/>
      <c r="F24" s="6" t="s">
        <v>25</v>
      </c>
      <c r="G24" s="6"/>
      <c r="H24" s="6"/>
    </row>
    <row r="25" spans="1:11" x14ac:dyDescent="0.2">
      <c r="B25" s="6"/>
      <c r="C25" s="6"/>
      <c r="D25" s="6"/>
      <c r="E25" s="6"/>
      <c r="F25" s="6"/>
      <c r="G25" s="6"/>
      <c r="H25" s="6"/>
    </row>
    <row r="26" spans="1:11" x14ac:dyDescent="0.2">
      <c r="A26" s="2" t="s">
        <v>41</v>
      </c>
      <c r="B26" s="6"/>
      <c r="C26" s="6"/>
      <c r="D26" s="6"/>
      <c r="E26" s="6"/>
      <c r="F26" s="6"/>
      <c r="G26" s="6"/>
      <c r="H26" s="6"/>
    </row>
    <row r="27" spans="1:11" x14ac:dyDescent="0.2">
      <c r="A27" s="2" t="s">
        <v>50</v>
      </c>
      <c r="B27" s="6"/>
      <c r="C27" s="6"/>
      <c r="D27" s="6"/>
      <c r="E27" s="6"/>
      <c r="F27" s="6"/>
      <c r="G27" s="6"/>
      <c r="H27" s="6"/>
    </row>
    <row r="28" spans="1:11" x14ac:dyDescent="0.2">
      <c r="A28" s="9"/>
      <c r="B28" s="25"/>
      <c r="C28" s="25"/>
      <c r="D28" s="25"/>
      <c r="E28" s="25"/>
      <c r="F28" s="25"/>
      <c r="G28" s="25"/>
      <c r="H28" s="25"/>
    </row>
    <row r="29" spans="1:11" ht="13.5" thickBot="1" x14ac:dyDescent="0.25">
      <c r="A29" s="14" t="s">
        <v>20</v>
      </c>
      <c r="B29" s="15" t="s">
        <v>51</v>
      </c>
      <c r="C29" s="15" t="s">
        <v>52</v>
      </c>
      <c r="D29" s="15" t="s">
        <v>52</v>
      </c>
      <c r="E29" s="15" t="s">
        <v>52</v>
      </c>
      <c r="F29" s="16" t="s">
        <v>53</v>
      </c>
      <c r="G29" s="16"/>
      <c r="H29" s="16"/>
    </row>
    <row r="30" spans="1:11" ht="13.5" thickTop="1" x14ac:dyDescent="0.2">
      <c r="A30" s="9"/>
      <c r="B30" s="6"/>
      <c r="C30" s="6"/>
      <c r="D30" s="18" t="s">
        <v>54</v>
      </c>
      <c r="E30" s="17" t="s">
        <v>55</v>
      </c>
      <c r="F30" s="17"/>
      <c r="G30" s="6"/>
      <c r="H30" s="6"/>
    </row>
    <row r="31" spans="1:11" x14ac:dyDescent="0.2">
      <c r="A31" s="9"/>
      <c r="B31" s="6"/>
      <c r="C31" s="6"/>
      <c r="D31" s="17" t="s">
        <v>56</v>
      </c>
      <c r="E31" s="17" t="s">
        <v>57</v>
      </c>
      <c r="F31" s="6"/>
      <c r="G31" s="6"/>
      <c r="H31" s="6"/>
    </row>
    <row r="32" spans="1:11" x14ac:dyDescent="0.2">
      <c r="A32" s="9"/>
      <c r="B32" s="6"/>
      <c r="C32" s="6"/>
      <c r="D32" s="17" t="s">
        <v>58</v>
      </c>
      <c r="E32" s="6"/>
      <c r="F32" s="6"/>
      <c r="G32" s="6"/>
      <c r="H32" s="6"/>
    </row>
    <row r="33" spans="1:8" x14ac:dyDescent="0.2">
      <c r="A33" s="26" t="s">
        <v>59</v>
      </c>
      <c r="B33" s="6"/>
      <c r="C33" s="6"/>
      <c r="D33" s="6"/>
      <c r="E33" s="6"/>
      <c r="F33" s="6"/>
      <c r="G33" s="6"/>
      <c r="H33" s="6"/>
    </row>
    <row r="34" spans="1:8" x14ac:dyDescent="0.2">
      <c r="A34" s="26" t="s">
        <v>60</v>
      </c>
      <c r="B34" s="6"/>
      <c r="C34" s="6"/>
      <c r="D34" s="6"/>
      <c r="E34" s="6"/>
      <c r="F34" s="6"/>
      <c r="G34" s="6"/>
      <c r="H34" s="6"/>
    </row>
    <row r="35" spans="1:8" x14ac:dyDescent="0.2">
      <c r="A35" s="9"/>
      <c r="B35" s="25"/>
      <c r="C35" s="25"/>
      <c r="D35" s="25"/>
      <c r="E35" s="25"/>
      <c r="F35" s="25"/>
      <c r="G35" s="25"/>
      <c r="H35" s="25"/>
    </row>
    <row r="36" spans="1:8" ht="13.5" thickBot="1" x14ac:dyDescent="0.25">
      <c r="A36" s="14" t="s">
        <v>20</v>
      </c>
      <c r="B36" s="16"/>
      <c r="C36" s="16"/>
      <c r="D36" s="15" t="s">
        <v>31</v>
      </c>
      <c r="E36" s="15" t="s">
        <v>45</v>
      </c>
      <c r="F36" s="16"/>
      <c r="G36" s="16"/>
      <c r="H36" s="16"/>
    </row>
    <row r="37" spans="1:8" ht="13.5" thickTop="1" x14ac:dyDescent="0.2">
      <c r="A37" s="10"/>
      <c r="B37" s="6"/>
      <c r="C37" s="13" t="s">
        <v>61</v>
      </c>
      <c r="D37" s="13" t="s">
        <v>62</v>
      </c>
      <c r="E37" s="13" t="s">
        <v>63</v>
      </c>
      <c r="F37" s="6"/>
      <c r="G37" s="6"/>
      <c r="H37" s="6"/>
    </row>
    <row r="38" spans="1:8" x14ac:dyDescent="0.2">
      <c r="A38" s="10"/>
      <c r="B38" s="6"/>
      <c r="C38" s="13" t="s">
        <v>64</v>
      </c>
      <c r="D38" s="6"/>
      <c r="E38" s="6"/>
      <c r="F38" s="6"/>
      <c r="G38" s="6"/>
      <c r="H38" s="6"/>
    </row>
    <row r="39" spans="1:8" x14ac:dyDescent="0.2">
      <c r="A39" s="9"/>
      <c r="B39" s="6"/>
      <c r="C39" s="13" t="s">
        <v>65</v>
      </c>
      <c r="D39" s="6"/>
      <c r="E39" s="6"/>
      <c r="F39" s="6"/>
      <c r="G39" s="6"/>
      <c r="H39" s="6"/>
    </row>
    <row r="40" spans="1:8" x14ac:dyDescent="0.2">
      <c r="A40" s="26" t="s">
        <v>66</v>
      </c>
      <c r="B40" s="6"/>
      <c r="C40" s="6"/>
      <c r="D40" s="6"/>
      <c r="E40" s="6"/>
      <c r="F40" s="6"/>
      <c r="G40" s="6"/>
      <c r="H40" s="6"/>
    </row>
    <row r="41" spans="1:8" x14ac:dyDescent="0.2">
      <c r="A41" s="26" t="s">
        <v>67</v>
      </c>
      <c r="B41" s="6"/>
      <c r="C41" s="6"/>
      <c r="D41" s="6"/>
      <c r="E41" s="6"/>
      <c r="F41" s="6"/>
      <c r="G41" s="6"/>
      <c r="H41" s="6"/>
    </row>
    <row r="42" spans="1:8" x14ac:dyDescent="0.2">
      <c r="B42" s="25"/>
      <c r="C42" s="25"/>
      <c r="D42" s="25"/>
      <c r="E42" s="25"/>
      <c r="F42" s="25"/>
      <c r="G42" s="25"/>
      <c r="H42" s="25"/>
    </row>
    <row r="43" spans="1:8" ht="13.5" thickBot="1" x14ac:dyDescent="0.25">
      <c r="A43" s="14" t="s">
        <v>20</v>
      </c>
      <c r="B43" s="16"/>
      <c r="C43" s="15" t="s">
        <v>68</v>
      </c>
      <c r="D43" s="15" t="s">
        <v>69</v>
      </c>
      <c r="E43" s="15" t="s">
        <v>70</v>
      </c>
      <c r="F43" s="16"/>
      <c r="G43" s="16"/>
      <c r="H43" s="16"/>
    </row>
    <row r="44" spans="1:8" ht="13.5" thickTop="1" x14ac:dyDescent="0.2">
      <c r="A44" s="2" t="s">
        <v>71</v>
      </c>
      <c r="B44" s="6"/>
      <c r="C44" s="6"/>
      <c r="D44" s="6"/>
      <c r="E44" s="6"/>
      <c r="F44" s="6"/>
      <c r="G44" s="6"/>
      <c r="H44" s="6"/>
    </row>
    <row r="45" spans="1:8" x14ac:dyDescent="0.2">
      <c r="A45" s="2" t="s">
        <v>72</v>
      </c>
      <c r="B45" s="6"/>
      <c r="C45" s="6"/>
      <c r="D45" s="6"/>
      <c r="E45" s="6"/>
      <c r="F45" s="6"/>
      <c r="G45" s="6"/>
      <c r="H45" s="6"/>
    </row>
    <row r="46" spans="1:8" x14ac:dyDescent="0.2">
      <c r="B46" s="25"/>
      <c r="C46" s="25"/>
      <c r="D46" s="25"/>
      <c r="E46" s="25"/>
      <c r="F46" s="25"/>
      <c r="G46" s="25"/>
      <c r="H46" s="25"/>
    </row>
    <row r="47" spans="1:8" ht="13.5" thickBot="1" x14ac:dyDescent="0.25">
      <c r="A47" s="14" t="s">
        <v>20</v>
      </c>
      <c r="B47" s="16"/>
      <c r="C47" s="16"/>
      <c r="D47" s="16"/>
      <c r="E47" s="16"/>
      <c r="F47" s="16"/>
      <c r="G47" s="16"/>
      <c r="H47" s="16"/>
    </row>
    <row r="48" spans="1:8" ht="13.5" thickTop="1" x14ac:dyDescent="0.2">
      <c r="A48" s="11"/>
      <c r="B48" s="7"/>
      <c r="C48" s="7"/>
      <c r="D48" s="7"/>
      <c r="E48" s="19" t="s">
        <v>73</v>
      </c>
      <c r="F48" s="20" t="s">
        <v>52</v>
      </c>
      <c r="G48" s="7"/>
      <c r="H48" s="7"/>
    </row>
    <row r="49" spans="1:8" x14ac:dyDescent="0.2">
      <c r="A49" s="11"/>
      <c r="B49" s="7"/>
      <c r="C49" s="7"/>
      <c r="D49" s="7"/>
      <c r="E49" s="20" t="s">
        <v>69</v>
      </c>
      <c r="F49" s="7"/>
      <c r="G49" s="7"/>
      <c r="H49" s="7"/>
    </row>
    <row r="50" spans="1:8" x14ac:dyDescent="0.2">
      <c r="A50" s="11"/>
      <c r="B50" s="7"/>
      <c r="C50" s="7"/>
      <c r="D50" s="7"/>
      <c r="E50" s="20" t="s">
        <v>74</v>
      </c>
      <c r="F50" s="7"/>
      <c r="G50" s="7"/>
      <c r="H50" s="7"/>
    </row>
    <row r="51" spans="1:8" ht="13.5" thickBot="1" x14ac:dyDescent="0.25">
      <c r="A51" s="248" t="s">
        <v>75</v>
      </c>
      <c r="B51" s="252" t="s">
        <v>76</v>
      </c>
      <c r="D51" s="7"/>
      <c r="E51" s="7"/>
      <c r="F51" s="7"/>
      <c r="G51" s="7"/>
      <c r="H51" s="7"/>
    </row>
    <row r="52" spans="1:8" ht="13.5" thickTop="1" x14ac:dyDescent="0.2">
      <c r="A52" s="9"/>
      <c r="B52" s="7"/>
      <c r="C52" s="7"/>
      <c r="D52" s="7"/>
      <c r="E52" s="7"/>
      <c r="F52" s="7"/>
      <c r="G52" s="7"/>
    </row>
    <row r="53" spans="1:8" x14ac:dyDescent="0.2">
      <c r="A53" s="9"/>
      <c r="B53" s="7"/>
      <c r="C53" s="7"/>
      <c r="D53" s="7"/>
      <c r="E53" s="7"/>
      <c r="F53" s="7"/>
      <c r="G53" s="7"/>
    </row>
    <row r="54" spans="1:8" x14ac:dyDescent="0.2">
      <c r="A54" s="9"/>
      <c r="B54" s="7"/>
      <c r="C54" s="7"/>
      <c r="D54" s="7"/>
      <c r="E54" s="7"/>
      <c r="F54" s="7"/>
      <c r="G54" s="7"/>
    </row>
    <row r="55" spans="1:8" x14ac:dyDescent="0.2">
      <c r="A55" s="9"/>
      <c r="B55" s="7"/>
      <c r="C55" s="7"/>
      <c r="D55" s="7"/>
      <c r="E55" s="7"/>
      <c r="F55" s="7"/>
      <c r="G55" s="7"/>
    </row>
    <row r="56" spans="1:8" x14ac:dyDescent="0.2">
      <c r="A56" s="9"/>
      <c r="B56" s="7"/>
      <c r="C56" s="7"/>
      <c r="D56" s="7"/>
      <c r="E56" s="7"/>
      <c r="F56" s="7"/>
      <c r="G56" s="7"/>
    </row>
    <row r="57" spans="1:8" x14ac:dyDescent="0.2">
      <c r="A57" s="9"/>
      <c r="B57" s="7"/>
      <c r="C57" s="7"/>
      <c r="D57" s="7"/>
      <c r="E57" s="7"/>
      <c r="F57" s="7"/>
      <c r="G57" s="7"/>
    </row>
    <row r="58" spans="1:8" x14ac:dyDescent="0.2">
      <c r="A58" s="11"/>
      <c r="B58" s="7"/>
      <c r="C58" s="7"/>
      <c r="D58" s="7"/>
      <c r="E58" s="7"/>
      <c r="F58" s="7"/>
      <c r="G58" s="7"/>
    </row>
    <row r="59" spans="1:8" x14ac:dyDescent="0.2">
      <c r="A59" s="11"/>
      <c r="B59" s="7"/>
      <c r="C59" s="7"/>
      <c r="D59" s="7"/>
      <c r="E59" s="7"/>
      <c r="F59" s="7"/>
      <c r="G59" s="7"/>
      <c r="H59" s="7"/>
    </row>
    <row r="60" spans="1:8" x14ac:dyDescent="0.2">
      <c r="A60" s="9"/>
      <c r="B60" s="7"/>
      <c r="C60" s="7"/>
      <c r="D60" s="7"/>
      <c r="E60" s="7"/>
      <c r="F60" s="7"/>
      <c r="G60" s="7"/>
      <c r="H60" s="7"/>
    </row>
    <row r="61" spans="1:8" x14ac:dyDescent="0.2">
      <c r="A61" s="9"/>
      <c r="B61" s="7"/>
      <c r="C61" s="7"/>
      <c r="D61" s="7"/>
      <c r="E61" s="7"/>
      <c r="F61" s="7"/>
      <c r="G61" s="7"/>
      <c r="H61" s="7"/>
    </row>
    <row r="62" spans="1:8" x14ac:dyDescent="0.2">
      <c r="A62" s="9"/>
      <c r="B62" s="7"/>
      <c r="C62" s="7"/>
      <c r="D62" s="7"/>
      <c r="E62" s="7"/>
      <c r="F62" s="7"/>
      <c r="G62" s="7"/>
      <c r="H62" s="7"/>
    </row>
    <row r="63" spans="1:8" x14ac:dyDescent="0.2">
      <c r="A63" s="9"/>
      <c r="B63" s="7"/>
      <c r="C63" s="7"/>
      <c r="D63" s="7"/>
      <c r="E63" s="7"/>
      <c r="F63" s="7"/>
      <c r="G63" s="7"/>
      <c r="H63" s="7"/>
    </row>
    <row r="64" spans="1:8" x14ac:dyDescent="0.2">
      <c r="A64" s="9"/>
      <c r="B64" s="7"/>
      <c r="C64" s="7"/>
      <c r="D64" s="7"/>
      <c r="E64" s="7"/>
      <c r="F64" s="7"/>
      <c r="G64" s="7"/>
      <c r="H64" s="7"/>
    </row>
    <row r="65" spans="1:8" x14ac:dyDescent="0.2">
      <c r="A65" s="9"/>
      <c r="B65" s="7"/>
      <c r="C65" s="7"/>
      <c r="D65" s="7"/>
      <c r="E65" s="7"/>
      <c r="F65" s="7"/>
      <c r="G65" s="7"/>
      <c r="H65" s="7"/>
    </row>
    <row r="66" spans="1:8" x14ac:dyDescent="0.2">
      <c r="A66" s="9"/>
      <c r="B66" s="7"/>
      <c r="C66" s="7"/>
      <c r="D66" s="7"/>
      <c r="E66" s="7"/>
      <c r="F66" s="7"/>
      <c r="G66" s="7"/>
      <c r="H66" s="7"/>
    </row>
    <row r="67" spans="1:8" x14ac:dyDescent="0.2">
      <c r="A67" s="11"/>
      <c r="B67" s="7"/>
      <c r="C67" s="7"/>
      <c r="D67" s="7"/>
      <c r="E67" s="7"/>
      <c r="F67" s="7"/>
      <c r="G67" s="7"/>
      <c r="H67" s="7"/>
    </row>
    <row r="68" spans="1:8" x14ac:dyDescent="0.2">
      <c r="A68" s="11"/>
      <c r="B68" s="7"/>
      <c r="C68" s="7"/>
      <c r="D68" s="7"/>
      <c r="E68" s="7"/>
      <c r="F68" s="7"/>
      <c r="G68" s="7"/>
      <c r="H68" s="7"/>
    </row>
    <row r="69" spans="1:8" x14ac:dyDescent="0.2">
      <c r="A69" s="9"/>
      <c r="B69" s="7"/>
      <c r="C69" s="7"/>
      <c r="D69" s="7"/>
      <c r="E69" s="7"/>
      <c r="F69" s="7"/>
      <c r="G69" s="7"/>
      <c r="H69" s="7"/>
    </row>
    <row r="70" spans="1:8" x14ac:dyDescent="0.2">
      <c r="A70" s="9"/>
      <c r="B70" s="7"/>
      <c r="C70" s="7"/>
      <c r="D70" s="7"/>
      <c r="E70" s="7"/>
      <c r="F70" s="7"/>
      <c r="G70" s="7"/>
      <c r="H70" s="7"/>
    </row>
    <row r="71" spans="1:8" x14ac:dyDescent="0.2">
      <c r="A71" s="9"/>
      <c r="B71" s="7"/>
      <c r="C71" s="7"/>
      <c r="D71" s="7"/>
      <c r="E71" s="7"/>
      <c r="F71" s="7"/>
      <c r="G71" s="7"/>
      <c r="H71" s="7"/>
    </row>
    <row r="72" spans="1:8" x14ac:dyDescent="0.2">
      <c r="A72" s="9"/>
      <c r="B72" s="7"/>
      <c r="C72" s="7"/>
      <c r="D72" s="7"/>
      <c r="E72" s="7"/>
      <c r="F72" s="7"/>
      <c r="G72" s="7"/>
      <c r="H72" s="7"/>
    </row>
    <row r="73" spans="1:8" x14ac:dyDescent="0.2">
      <c r="A73" s="9"/>
      <c r="B73" s="7"/>
      <c r="C73" s="7"/>
      <c r="D73" s="7"/>
      <c r="E73" s="7"/>
      <c r="F73" s="7"/>
      <c r="G73" s="7"/>
      <c r="H73" s="7"/>
    </row>
    <row r="74" spans="1:8" x14ac:dyDescent="0.2">
      <c r="A74" s="9"/>
      <c r="B74" s="7"/>
      <c r="C74" s="7"/>
      <c r="D74" s="7"/>
      <c r="E74" s="7"/>
      <c r="F74" s="7"/>
      <c r="G74" s="7"/>
      <c r="H74" s="7"/>
    </row>
    <row r="75" spans="1:8" x14ac:dyDescent="0.2">
      <c r="A75" s="9"/>
      <c r="B75" s="7"/>
      <c r="C75" s="7"/>
      <c r="D75" s="7"/>
      <c r="E75" s="7"/>
      <c r="F75" s="7"/>
      <c r="G75" s="7"/>
      <c r="H75" s="7"/>
    </row>
    <row r="76" spans="1:8" x14ac:dyDescent="0.2">
      <c r="A76" s="11"/>
      <c r="B76" s="7"/>
      <c r="C76" s="7"/>
      <c r="D76" s="7"/>
      <c r="E76" s="7"/>
      <c r="F76" s="7"/>
      <c r="G76" s="7"/>
      <c r="H76" s="7"/>
    </row>
    <row r="77" spans="1:8" x14ac:dyDescent="0.2">
      <c r="A77" s="11"/>
      <c r="B77" s="7"/>
      <c r="C77" s="7"/>
      <c r="D77" s="7"/>
      <c r="E77" s="7"/>
      <c r="F77" s="7"/>
      <c r="G77" s="7"/>
      <c r="H77" s="7"/>
    </row>
    <row r="78" spans="1:8" x14ac:dyDescent="0.2">
      <c r="A78" s="9"/>
      <c r="B78" s="7"/>
      <c r="C78" s="7"/>
      <c r="D78" s="7"/>
      <c r="E78" s="7"/>
      <c r="F78" s="7"/>
      <c r="G78" s="7"/>
      <c r="H78" s="7"/>
    </row>
    <row r="79" spans="1:8" x14ac:dyDescent="0.2">
      <c r="A79" s="9"/>
      <c r="B79" s="7"/>
      <c r="C79" s="7"/>
      <c r="D79" s="7"/>
      <c r="E79" s="7"/>
      <c r="F79" s="7"/>
      <c r="G79" s="7"/>
      <c r="H79" s="7"/>
    </row>
    <row r="80" spans="1:8" x14ac:dyDescent="0.2">
      <c r="A80" s="9"/>
      <c r="B80" s="7"/>
      <c r="C80" s="7"/>
      <c r="D80" s="7"/>
      <c r="E80" s="7"/>
      <c r="F80" s="7"/>
      <c r="G80" s="7"/>
      <c r="H80" s="7"/>
    </row>
    <row r="81" spans="1:8" x14ac:dyDescent="0.2">
      <c r="A81" s="9"/>
      <c r="B81" s="7"/>
      <c r="C81" s="7"/>
      <c r="D81" s="7"/>
      <c r="E81" s="7"/>
      <c r="F81" s="7"/>
      <c r="G81" s="7"/>
      <c r="H81" s="7"/>
    </row>
    <row r="82" spans="1:8" x14ac:dyDescent="0.2">
      <c r="A82" s="9"/>
      <c r="B82" s="7"/>
      <c r="C82" s="7"/>
      <c r="D82" s="7"/>
      <c r="E82" s="7"/>
      <c r="F82" s="7"/>
      <c r="G82" s="7"/>
      <c r="H82" s="7"/>
    </row>
    <row r="83" spans="1:8" x14ac:dyDescent="0.2">
      <c r="A83" s="9"/>
      <c r="B83" s="7"/>
      <c r="C83" s="7"/>
      <c r="D83" s="7"/>
      <c r="E83" s="7"/>
      <c r="F83" s="7"/>
      <c r="G83" s="7"/>
      <c r="H83" s="7"/>
    </row>
    <row r="84" spans="1:8" x14ac:dyDescent="0.2">
      <c r="A84" s="9"/>
      <c r="B84" s="7"/>
      <c r="C84" s="7"/>
      <c r="D84" s="7"/>
      <c r="E84" s="7"/>
      <c r="F84" s="7"/>
      <c r="G84" s="7"/>
      <c r="H84" s="7"/>
    </row>
    <row r="85" spans="1:8" x14ac:dyDescent="0.2">
      <c r="A85" s="11"/>
      <c r="B85" s="7"/>
      <c r="C85" s="7"/>
      <c r="D85" s="7"/>
      <c r="E85" s="7"/>
      <c r="F85" s="7"/>
      <c r="G85" s="7"/>
      <c r="H85" s="7"/>
    </row>
    <row r="86" spans="1:8" x14ac:dyDescent="0.2">
      <c r="A86" s="11"/>
      <c r="B86" s="7"/>
      <c r="C86" s="7"/>
      <c r="D86" s="7"/>
      <c r="E86" s="7"/>
      <c r="F86" s="7"/>
      <c r="G86" s="7"/>
      <c r="H86" s="7"/>
    </row>
    <row r="87" spans="1:8" x14ac:dyDescent="0.2">
      <c r="A87" s="9"/>
      <c r="B87" s="7"/>
      <c r="C87" s="7"/>
      <c r="D87" s="7"/>
      <c r="E87" s="7"/>
      <c r="F87" s="7"/>
      <c r="G87" s="7"/>
      <c r="H87" s="7"/>
    </row>
    <row r="88" spans="1:8" x14ac:dyDescent="0.2">
      <c r="A88" s="9"/>
      <c r="B88" s="7"/>
      <c r="C88" s="7"/>
      <c r="D88" s="7"/>
      <c r="E88" s="7"/>
      <c r="F88" s="7"/>
      <c r="G88" s="7"/>
      <c r="H88" s="7"/>
    </row>
    <row r="89" spans="1:8" x14ac:dyDescent="0.2">
      <c r="A89" s="9"/>
      <c r="B89" s="7"/>
      <c r="C89" s="7"/>
      <c r="D89" s="7"/>
      <c r="E89" s="7"/>
      <c r="F89" s="7"/>
      <c r="G89" s="7"/>
      <c r="H89" s="7"/>
    </row>
    <row r="90" spans="1:8" x14ac:dyDescent="0.2">
      <c r="A90" s="9"/>
      <c r="B90" s="7"/>
      <c r="C90" s="7"/>
      <c r="D90" s="7"/>
      <c r="E90" s="7"/>
      <c r="F90" s="7"/>
      <c r="G90" s="7"/>
      <c r="H90" s="7"/>
    </row>
    <row r="91" spans="1:8" x14ac:dyDescent="0.2">
      <c r="A91" s="9"/>
      <c r="B91" s="7"/>
      <c r="C91" s="7"/>
      <c r="D91" s="7"/>
      <c r="E91" s="7"/>
      <c r="F91" s="7"/>
      <c r="G91" s="7"/>
      <c r="H91" s="7"/>
    </row>
    <row r="92" spans="1:8" x14ac:dyDescent="0.2">
      <c r="A92" s="9"/>
      <c r="B92" s="7"/>
      <c r="C92" s="7"/>
      <c r="D92" s="7"/>
      <c r="E92" s="7"/>
      <c r="F92" s="7"/>
      <c r="G92" s="7"/>
      <c r="H92" s="7"/>
    </row>
    <row r="93" spans="1:8" x14ac:dyDescent="0.2">
      <c r="A93" s="9"/>
      <c r="B93" s="7"/>
      <c r="C93" s="7"/>
      <c r="D93" s="7"/>
      <c r="E93" s="7"/>
      <c r="F93" s="7"/>
      <c r="G93" s="7"/>
      <c r="H93" s="7"/>
    </row>
    <row r="94" spans="1:8" x14ac:dyDescent="0.2">
      <c r="A94" s="9"/>
      <c r="B94" s="7"/>
      <c r="C94" s="7"/>
      <c r="D94" s="7"/>
      <c r="E94" s="7"/>
      <c r="F94" s="7"/>
      <c r="G94" s="7"/>
      <c r="H94" s="7"/>
    </row>
    <row r="95" spans="1:8" x14ac:dyDescent="0.2">
      <c r="A95" s="9"/>
      <c r="B95" s="7"/>
      <c r="C95" s="7"/>
      <c r="D95" s="7"/>
      <c r="E95" s="7"/>
      <c r="F95" s="7"/>
      <c r="G95" s="7"/>
      <c r="H95" s="7"/>
    </row>
    <row r="96" spans="1:8" x14ac:dyDescent="0.2">
      <c r="A96" s="9"/>
      <c r="B96" s="7"/>
      <c r="C96" s="7"/>
      <c r="D96" s="7"/>
      <c r="E96" s="7"/>
      <c r="F96" s="7"/>
      <c r="G96" s="7"/>
      <c r="H96" s="7"/>
    </row>
    <row r="97" spans="1:8" x14ac:dyDescent="0.2">
      <c r="A97" s="9"/>
      <c r="B97" s="7"/>
      <c r="C97" s="7"/>
      <c r="D97" s="7"/>
      <c r="E97" s="7"/>
      <c r="F97" s="7"/>
      <c r="G97" s="7"/>
      <c r="H97" s="7"/>
    </row>
    <row r="98" spans="1:8" x14ac:dyDescent="0.2">
      <c r="A98" s="9"/>
      <c r="B98" s="7"/>
      <c r="C98" s="7"/>
      <c r="D98" s="7"/>
      <c r="E98" s="7"/>
      <c r="F98" s="7"/>
      <c r="G98" s="7"/>
      <c r="H98" s="7"/>
    </row>
    <row r="99" spans="1:8" x14ac:dyDescent="0.2">
      <c r="A99" s="9"/>
      <c r="B99" s="7"/>
      <c r="C99" s="7"/>
      <c r="D99" s="7"/>
      <c r="E99" s="7"/>
      <c r="F99" s="7"/>
      <c r="G99" s="7"/>
      <c r="H99" s="7"/>
    </row>
    <row r="100" spans="1:8" x14ac:dyDescent="0.2">
      <c r="A100" s="9"/>
      <c r="B100" s="7"/>
      <c r="C100" s="7"/>
      <c r="D100" s="7"/>
      <c r="E100" s="7"/>
      <c r="F100" s="7"/>
      <c r="G100" s="7"/>
      <c r="H100" s="7"/>
    </row>
    <row r="101" spans="1:8" x14ac:dyDescent="0.2">
      <c r="A101" s="9"/>
      <c r="B101" s="7"/>
      <c r="C101" s="7"/>
      <c r="D101" s="7"/>
      <c r="E101" s="7"/>
      <c r="F101" s="7"/>
      <c r="G101" s="7"/>
      <c r="H101" s="7"/>
    </row>
    <row r="102" spans="1:8" x14ac:dyDescent="0.2">
      <c r="A102" s="9"/>
      <c r="B102" s="7"/>
      <c r="C102" s="7"/>
      <c r="D102" s="7"/>
      <c r="E102" s="7"/>
      <c r="F102" s="7"/>
      <c r="G102" s="7"/>
      <c r="H102" s="7"/>
    </row>
    <row r="103" spans="1:8" x14ac:dyDescent="0.2">
      <c r="A103" s="9"/>
      <c r="B103" s="7"/>
      <c r="C103" s="7"/>
      <c r="D103" s="7"/>
      <c r="E103" s="7"/>
      <c r="F103" s="7"/>
      <c r="G103" s="7"/>
      <c r="H103" s="7"/>
    </row>
    <row r="104" spans="1:8" x14ac:dyDescent="0.2">
      <c r="A104" s="9"/>
      <c r="B104" s="7"/>
      <c r="C104" s="7"/>
      <c r="D104" s="7"/>
      <c r="E104" s="7"/>
      <c r="F104" s="7"/>
      <c r="G104" s="7"/>
      <c r="H104" s="7"/>
    </row>
    <row r="105" spans="1:8" x14ac:dyDescent="0.2">
      <c r="A105" s="9"/>
      <c r="B105" s="7"/>
      <c r="C105" s="7"/>
      <c r="D105" s="7"/>
      <c r="E105" s="7"/>
      <c r="F105" s="7"/>
      <c r="G105" s="7"/>
      <c r="H105" s="7"/>
    </row>
    <row r="106" spans="1:8" x14ac:dyDescent="0.2">
      <c r="A106" s="9"/>
      <c r="B106" s="7"/>
      <c r="C106" s="7"/>
      <c r="D106" s="7"/>
      <c r="E106" s="7"/>
      <c r="F106" s="7"/>
      <c r="G106" s="7"/>
      <c r="H106" s="7"/>
    </row>
    <row r="107" spans="1:8" x14ac:dyDescent="0.2">
      <c r="A107" s="9"/>
      <c r="B107" s="7"/>
      <c r="C107" s="7"/>
      <c r="D107" s="7"/>
      <c r="E107" s="7"/>
      <c r="F107" s="7"/>
      <c r="G107" s="7"/>
      <c r="H107" s="7"/>
    </row>
    <row r="108" spans="1:8" x14ac:dyDescent="0.2">
      <c r="A108" s="9"/>
      <c r="B108" s="7"/>
      <c r="C108" s="7"/>
      <c r="D108" s="7"/>
      <c r="E108" s="7"/>
      <c r="F108" s="7"/>
      <c r="G108" s="7"/>
      <c r="H108" s="7"/>
    </row>
    <row r="109" spans="1:8" x14ac:dyDescent="0.2">
      <c r="A109" s="9"/>
      <c r="B109" s="7"/>
      <c r="C109" s="7"/>
      <c r="D109" s="7"/>
      <c r="E109" s="7"/>
      <c r="F109" s="7"/>
      <c r="G109" s="7"/>
      <c r="H109" s="7"/>
    </row>
    <row r="110" spans="1:8" x14ac:dyDescent="0.2">
      <c r="A110" s="9"/>
      <c r="B110" s="7"/>
      <c r="C110" s="7"/>
      <c r="D110" s="7"/>
      <c r="E110" s="7"/>
      <c r="F110" s="7"/>
      <c r="G110" s="7"/>
      <c r="H110" s="7"/>
    </row>
    <row r="111" spans="1:8" x14ac:dyDescent="0.2">
      <c r="A111" s="9"/>
      <c r="B111" s="7"/>
      <c r="C111" s="7"/>
      <c r="D111" s="7"/>
      <c r="E111" s="7"/>
      <c r="F111" s="7"/>
      <c r="G111" s="7"/>
      <c r="H111" s="7"/>
    </row>
    <row r="112" spans="1:8" x14ac:dyDescent="0.2">
      <c r="A112" s="9"/>
      <c r="B112" s="7"/>
      <c r="C112" s="7"/>
      <c r="D112" s="7"/>
      <c r="E112" s="7"/>
      <c r="F112" s="7"/>
      <c r="G112" s="7"/>
      <c r="H112" s="7"/>
    </row>
    <row r="113" spans="1:8" x14ac:dyDescent="0.2">
      <c r="A113" s="9"/>
      <c r="B113" s="7"/>
      <c r="C113" s="7"/>
      <c r="D113" s="7"/>
      <c r="E113" s="7"/>
      <c r="F113" s="7"/>
      <c r="G113" s="7"/>
      <c r="H113" s="7"/>
    </row>
    <row r="114" spans="1:8" x14ac:dyDescent="0.2">
      <c r="A114" s="9"/>
      <c r="B114" s="7"/>
      <c r="C114" s="7"/>
      <c r="D114" s="7"/>
      <c r="E114" s="7"/>
      <c r="F114" s="7"/>
      <c r="G114" s="7"/>
      <c r="H114" s="7"/>
    </row>
    <row r="115" spans="1:8" x14ac:dyDescent="0.2">
      <c r="A115" s="9"/>
      <c r="B115" s="7"/>
      <c r="C115" s="7"/>
      <c r="D115" s="7"/>
      <c r="E115" s="7"/>
      <c r="F115" s="7"/>
      <c r="G115" s="7"/>
      <c r="H115" s="7"/>
    </row>
    <row r="116" spans="1:8" x14ac:dyDescent="0.2">
      <c r="A116" s="9"/>
      <c r="B116" s="7"/>
      <c r="C116" s="7"/>
      <c r="D116" s="7"/>
      <c r="E116" s="7"/>
      <c r="F116" s="7"/>
      <c r="G116" s="7"/>
      <c r="H116" s="7"/>
    </row>
    <row r="117" spans="1:8" x14ac:dyDescent="0.2">
      <c r="A117" s="9"/>
      <c r="B117" s="7"/>
      <c r="C117" s="7"/>
      <c r="D117" s="7"/>
      <c r="E117" s="7"/>
      <c r="F117" s="7"/>
      <c r="G117" s="7"/>
      <c r="H117" s="7"/>
    </row>
    <row r="118" spans="1:8" x14ac:dyDescent="0.2">
      <c r="A118" s="9"/>
      <c r="B118" s="7"/>
      <c r="C118" s="7"/>
      <c r="D118" s="7"/>
      <c r="E118" s="7"/>
      <c r="F118" s="7"/>
      <c r="G118" s="7"/>
      <c r="H118" s="7"/>
    </row>
    <row r="119" spans="1:8" x14ac:dyDescent="0.2">
      <c r="A119" s="9"/>
      <c r="B119" s="7"/>
      <c r="C119" s="7"/>
      <c r="D119" s="7"/>
      <c r="E119" s="7"/>
      <c r="F119" s="7"/>
      <c r="G119" s="7"/>
      <c r="H119" s="7"/>
    </row>
    <row r="120" spans="1:8" x14ac:dyDescent="0.2">
      <c r="A120" s="9"/>
      <c r="B120" s="7"/>
      <c r="C120" s="7"/>
      <c r="D120" s="7"/>
      <c r="E120" s="7"/>
      <c r="F120" s="7"/>
      <c r="G120" s="7"/>
      <c r="H120" s="7"/>
    </row>
    <row r="121" spans="1:8" x14ac:dyDescent="0.2">
      <c r="A121" s="9"/>
      <c r="B121" s="7"/>
      <c r="C121" s="7"/>
      <c r="D121" s="7"/>
      <c r="E121" s="7"/>
      <c r="F121" s="7"/>
      <c r="G121" s="7"/>
      <c r="H121" s="7"/>
    </row>
    <row r="122" spans="1:8" x14ac:dyDescent="0.2">
      <c r="A122" s="9"/>
      <c r="B122" s="7"/>
      <c r="C122" s="7"/>
      <c r="D122" s="7"/>
      <c r="E122" s="7"/>
      <c r="F122" s="7"/>
      <c r="G122" s="7"/>
      <c r="H122" s="7"/>
    </row>
    <row r="123" spans="1:8" x14ac:dyDescent="0.2">
      <c r="A123" s="9"/>
      <c r="B123" s="7"/>
      <c r="C123" s="7"/>
      <c r="D123" s="7"/>
      <c r="E123" s="7"/>
      <c r="F123" s="7"/>
      <c r="G123" s="7"/>
      <c r="H123" s="7"/>
    </row>
    <row r="124" spans="1:8" x14ac:dyDescent="0.2">
      <c r="A124" s="9"/>
      <c r="B124" s="7"/>
      <c r="C124" s="7"/>
      <c r="D124" s="7"/>
      <c r="E124" s="7"/>
      <c r="F124" s="7"/>
      <c r="G124" s="7"/>
      <c r="H124" s="7"/>
    </row>
    <row r="125" spans="1:8" x14ac:dyDescent="0.2">
      <c r="A125" s="9"/>
      <c r="B125" s="7"/>
      <c r="C125" s="7"/>
      <c r="D125" s="7"/>
      <c r="E125" s="7"/>
      <c r="F125" s="7"/>
      <c r="G125" s="7"/>
      <c r="H125" s="7"/>
    </row>
    <row r="126" spans="1:8" x14ac:dyDescent="0.2">
      <c r="A126" s="9"/>
      <c r="B126" s="7"/>
      <c r="C126" s="7"/>
      <c r="D126" s="7"/>
      <c r="E126" s="7"/>
      <c r="F126" s="7"/>
      <c r="G126" s="7"/>
      <c r="H126" s="7"/>
    </row>
    <row r="127" spans="1:8" x14ac:dyDescent="0.2">
      <c r="A127" s="9"/>
      <c r="B127" s="7"/>
      <c r="C127" s="7"/>
      <c r="D127" s="7"/>
      <c r="E127" s="7"/>
      <c r="F127" s="7"/>
      <c r="G127" s="7"/>
      <c r="H127" s="7"/>
    </row>
    <row r="128" spans="1:8" x14ac:dyDescent="0.2">
      <c r="A128" s="9"/>
      <c r="B128" s="7"/>
      <c r="C128" s="7"/>
      <c r="D128" s="7"/>
      <c r="E128" s="7"/>
      <c r="F128" s="7"/>
      <c r="G128" s="7"/>
      <c r="H128" s="7"/>
    </row>
    <row r="129" spans="1:8" x14ac:dyDescent="0.2">
      <c r="A129" s="9"/>
      <c r="B129" s="7"/>
      <c r="C129" s="7"/>
      <c r="D129" s="7"/>
      <c r="E129" s="7"/>
      <c r="F129" s="7"/>
      <c r="G129" s="7"/>
      <c r="H129" s="7"/>
    </row>
    <row r="130" spans="1:8" x14ac:dyDescent="0.2">
      <c r="A130" s="9"/>
      <c r="B130" s="7"/>
      <c r="C130" s="7"/>
      <c r="D130" s="7"/>
      <c r="E130" s="7"/>
      <c r="F130" s="7"/>
      <c r="G130" s="7"/>
      <c r="H130" s="7"/>
    </row>
    <row r="131" spans="1:8" x14ac:dyDescent="0.2">
      <c r="A131" s="9"/>
      <c r="B131" s="7"/>
      <c r="C131" s="7"/>
      <c r="D131" s="7"/>
      <c r="E131" s="7"/>
      <c r="F131" s="7"/>
      <c r="G131" s="7"/>
      <c r="H131" s="7"/>
    </row>
    <row r="132" spans="1:8" x14ac:dyDescent="0.2">
      <c r="A132" s="9"/>
      <c r="B132" s="7"/>
      <c r="C132" s="7"/>
      <c r="D132" s="7"/>
      <c r="E132" s="7"/>
      <c r="F132" s="7"/>
      <c r="G132" s="7"/>
      <c r="H132" s="7"/>
    </row>
    <row r="133" spans="1:8" x14ac:dyDescent="0.2">
      <c r="A133" s="9"/>
      <c r="B133" s="7"/>
      <c r="C133" s="7"/>
      <c r="D133" s="7"/>
      <c r="E133" s="7"/>
      <c r="F133" s="7"/>
      <c r="G133" s="7"/>
      <c r="H133" s="7"/>
    </row>
    <row r="134" spans="1:8" x14ac:dyDescent="0.2">
      <c r="A134" s="9"/>
      <c r="B134" s="7"/>
      <c r="C134" s="7"/>
      <c r="D134" s="7"/>
      <c r="E134" s="7"/>
      <c r="F134" s="7"/>
      <c r="G134" s="7"/>
      <c r="H134" s="7"/>
    </row>
    <row r="135" spans="1:8" x14ac:dyDescent="0.2">
      <c r="A135" s="9"/>
      <c r="B135" s="7"/>
      <c r="C135" s="7"/>
      <c r="D135" s="7"/>
      <c r="E135" s="7"/>
      <c r="F135" s="7"/>
      <c r="G135" s="7"/>
      <c r="H135" s="7"/>
    </row>
    <row r="136" spans="1:8" x14ac:dyDescent="0.2">
      <c r="A136" s="9"/>
      <c r="B136" s="7"/>
      <c r="C136" s="7"/>
      <c r="D136" s="7"/>
      <c r="E136" s="7"/>
      <c r="F136" s="7"/>
      <c r="G136" s="7"/>
      <c r="H136" s="7"/>
    </row>
    <row r="137" spans="1:8" x14ac:dyDescent="0.2">
      <c r="A137" s="9"/>
      <c r="B137" s="7"/>
      <c r="C137" s="7"/>
      <c r="D137" s="7"/>
      <c r="E137" s="7"/>
      <c r="F137" s="7"/>
      <c r="G137" s="7"/>
      <c r="H137" s="7"/>
    </row>
    <row r="138" spans="1:8" x14ac:dyDescent="0.2">
      <c r="A138" s="9"/>
      <c r="B138" s="7"/>
      <c r="C138" s="7"/>
      <c r="D138" s="7"/>
      <c r="E138" s="7"/>
      <c r="F138" s="7"/>
      <c r="G138" s="7"/>
      <c r="H138" s="7"/>
    </row>
    <row r="139" spans="1:8" x14ac:dyDescent="0.2">
      <c r="A139" s="9"/>
      <c r="B139" s="7"/>
      <c r="C139" s="7"/>
      <c r="D139" s="7"/>
      <c r="E139" s="7"/>
      <c r="F139" s="7"/>
      <c r="G139" s="7"/>
      <c r="H139" s="7"/>
    </row>
    <row r="140" spans="1:8" x14ac:dyDescent="0.2">
      <c r="A140" s="9"/>
      <c r="B140" s="7"/>
      <c r="C140" s="7"/>
      <c r="D140" s="7"/>
      <c r="E140" s="7"/>
      <c r="F140" s="7"/>
      <c r="G140" s="7"/>
      <c r="H140" s="7"/>
    </row>
    <row r="141" spans="1:8" x14ac:dyDescent="0.2">
      <c r="A141" s="9"/>
      <c r="B141" s="7"/>
      <c r="C141" s="7"/>
      <c r="D141" s="7"/>
      <c r="E141" s="7"/>
      <c r="F141" s="7"/>
      <c r="G141" s="7"/>
      <c r="H141" s="7"/>
    </row>
    <row r="142" spans="1:8" x14ac:dyDescent="0.2">
      <c r="A142" s="9"/>
      <c r="B142" s="7"/>
      <c r="C142" s="7"/>
      <c r="D142" s="7"/>
      <c r="E142" s="7"/>
      <c r="F142" s="7"/>
      <c r="G142" s="7"/>
      <c r="H142" s="7"/>
    </row>
    <row r="143" spans="1:8" x14ac:dyDescent="0.2">
      <c r="A143" s="9"/>
      <c r="B143" s="7"/>
      <c r="C143" s="7"/>
      <c r="D143" s="7"/>
      <c r="E143" s="7"/>
      <c r="F143" s="7"/>
      <c r="G143" s="7"/>
      <c r="H143" s="7"/>
    </row>
    <row r="144" spans="1:8" x14ac:dyDescent="0.2">
      <c r="A144" s="9"/>
      <c r="B144" s="7"/>
      <c r="C144" s="7"/>
      <c r="D144" s="7"/>
      <c r="E144" s="7"/>
      <c r="F144" s="7"/>
      <c r="G144" s="7"/>
      <c r="H144" s="7"/>
    </row>
    <row r="145" spans="1:8" x14ac:dyDescent="0.2">
      <c r="A145" s="9"/>
      <c r="B145" s="7"/>
      <c r="C145" s="7"/>
      <c r="D145" s="7"/>
      <c r="E145" s="7"/>
      <c r="F145" s="7"/>
      <c r="G145" s="7"/>
      <c r="H145" s="7"/>
    </row>
    <row r="146" spans="1:8" x14ac:dyDescent="0.2">
      <c r="A146" s="9"/>
      <c r="B146" s="7"/>
      <c r="C146" s="7"/>
      <c r="D146" s="7"/>
      <c r="E146" s="7"/>
      <c r="F146" s="7"/>
      <c r="G146" s="7"/>
      <c r="H146" s="7"/>
    </row>
    <row r="147" spans="1:8" x14ac:dyDescent="0.2">
      <c r="A147" s="9"/>
      <c r="B147" s="7"/>
      <c r="C147" s="7"/>
      <c r="D147" s="7"/>
      <c r="E147" s="7"/>
      <c r="F147" s="7"/>
      <c r="G147" s="7"/>
      <c r="H147" s="7"/>
    </row>
    <row r="148" spans="1:8" x14ac:dyDescent="0.2">
      <c r="A148" s="9"/>
      <c r="B148" s="7"/>
      <c r="C148" s="7"/>
      <c r="D148" s="7"/>
      <c r="E148" s="7"/>
      <c r="F148" s="7"/>
      <c r="G148" s="7"/>
      <c r="H148" s="7"/>
    </row>
    <row r="149" spans="1:8" x14ac:dyDescent="0.2">
      <c r="A149" s="9"/>
      <c r="B149" s="7"/>
      <c r="C149" s="7"/>
      <c r="D149" s="7"/>
      <c r="E149" s="7"/>
      <c r="F149" s="7"/>
      <c r="G149" s="7"/>
      <c r="H149" s="7"/>
    </row>
    <row r="150" spans="1:8" x14ac:dyDescent="0.2">
      <c r="A150" s="9"/>
      <c r="B150" s="7"/>
      <c r="C150" s="7"/>
      <c r="D150" s="7"/>
      <c r="E150" s="7"/>
      <c r="F150" s="7"/>
      <c r="G150" s="7"/>
      <c r="H150" s="7"/>
    </row>
    <row r="151" spans="1:8" x14ac:dyDescent="0.2">
      <c r="A151" s="9"/>
      <c r="B151" s="7"/>
      <c r="C151" s="7"/>
      <c r="D151" s="7"/>
      <c r="E151" s="7"/>
      <c r="F151" s="7"/>
      <c r="G151" s="7"/>
      <c r="H151" s="7"/>
    </row>
    <row r="152" spans="1:8" x14ac:dyDescent="0.2">
      <c r="A152" s="9"/>
      <c r="B152" s="7"/>
      <c r="C152" s="7"/>
      <c r="D152" s="7"/>
      <c r="E152" s="7"/>
      <c r="F152" s="7"/>
      <c r="G152" s="7"/>
      <c r="H152" s="7"/>
    </row>
    <row r="153" spans="1:8" x14ac:dyDescent="0.2">
      <c r="A153" s="9"/>
      <c r="B153" s="7"/>
      <c r="C153" s="7"/>
      <c r="D153" s="7"/>
      <c r="E153" s="7"/>
      <c r="F153" s="7"/>
      <c r="G153" s="7"/>
      <c r="H153" s="7"/>
    </row>
    <row r="154" spans="1:8" x14ac:dyDescent="0.2">
      <c r="A154" s="9"/>
      <c r="B154" s="7"/>
      <c r="C154" s="7"/>
      <c r="D154" s="7"/>
      <c r="E154" s="7"/>
      <c r="F154" s="7"/>
      <c r="G154" s="7"/>
      <c r="H154" s="7"/>
    </row>
    <row r="155" spans="1:8" x14ac:dyDescent="0.2">
      <c r="A155" s="9"/>
      <c r="B155" s="7"/>
      <c r="C155" s="7"/>
      <c r="D155" s="7"/>
      <c r="E155" s="7"/>
      <c r="F155" s="7"/>
      <c r="G155" s="7"/>
      <c r="H155" s="7"/>
    </row>
    <row r="156" spans="1:8" x14ac:dyDescent="0.2">
      <c r="A156" s="9"/>
      <c r="B156" s="7"/>
      <c r="C156" s="7"/>
      <c r="D156" s="7"/>
      <c r="E156" s="7"/>
      <c r="F156" s="7"/>
      <c r="G156" s="7"/>
      <c r="H156" s="7"/>
    </row>
    <row r="157" spans="1:8" x14ac:dyDescent="0.2">
      <c r="A157" s="9"/>
      <c r="B157" s="7"/>
      <c r="C157" s="7"/>
      <c r="D157" s="7"/>
      <c r="E157" s="7"/>
      <c r="F157" s="7"/>
      <c r="G157" s="7"/>
      <c r="H157" s="7"/>
    </row>
    <row r="158" spans="1:8" x14ac:dyDescent="0.2">
      <c r="A158" s="9"/>
      <c r="B158" s="7"/>
      <c r="C158" s="7"/>
      <c r="D158" s="7"/>
      <c r="E158" s="7"/>
      <c r="F158" s="7"/>
      <c r="G158" s="7"/>
      <c r="H158" s="7"/>
    </row>
    <row r="159" spans="1:8" x14ac:dyDescent="0.2">
      <c r="A159" s="9"/>
      <c r="B159" s="7"/>
      <c r="C159" s="7"/>
      <c r="D159" s="7"/>
      <c r="E159" s="7"/>
      <c r="F159" s="7"/>
      <c r="G159" s="7"/>
      <c r="H159" s="7"/>
    </row>
    <row r="160" spans="1:8" x14ac:dyDescent="0.2">
      <c r="A160" s="9"/>
      <c r="B160" s="7"/>
      <c r="C160" s="7"/>
      <c r="D160" s="7"/>
      <c r="E160" s="7"/>
      <c r="F160" s="7"/>
      <c r="G160" s="7"/>
      <c r="H160" s="7"/>
    </row>
    <row r="161" spans="1:8" x14ac:dyDescent="0.2">
      <c r="A161" s="9"/>
      <c r="B161" s="7"/>
      <c r="C161" s="7"/>
      <c r="D161" s="7"/>
      <c r="E161" s="7"/>
      <c r="F161" s="7"/>
      <c r="G161" s="7"/>
      <c r="H161" s="7"/>
    </row>
    <row r="162" spans="1:8" x14ac:dyDescent="0.2">
      <c r="A162" s="9"/>
      <c r="B162" s="7"/>
      <c r="C162" s="7"/>
      <c r="D162" s="7"/>
      <c r="E162" s="7"/>
      <c r="F162" s="7"/>
      <c r="G162" s="7"/>
      <c r="H162" s="7"/>
    </row>
    <row r="163" spans="1:8" x14ac:dyDescent="0.2">
      <c r="A163" s="9"/>
      <c r="B163" s="7"/>
      <c r="C163" s="7"/>
      <c r="D163" s="7"/>
      <c r="E163" s="7"/>
      <c r="F163" s="7"/>
      <c r="G163" s="7"/>
      <c r="H163" s="7"/>
    </row>
    <row r="164" spans="1:8" x14ac:dyDescent="0.2">
      <c r="A164" s="9"/>
      <c r="B164" s="7"/>
      <c r="C164" s="7"/>
      <c r="D164" s="7"/>
      <c r="E164" s="7"/>
      <c r="F164" s="7"/>
      <c r="G164" s="7"/>
      <c r="H164" s="7"/>
    </row>
    <row r="165" spans="1:8" x14ac:dyDescent="0.2">
      <c r="A165" s="9"/>
      <c r="B165" s="7"/>
      <c r="C165" s="7"/>
      <c r="D165" s="7"/>
      <c r="E165" s="7"/>
      <c r="F165" s="7"/>
      <c r="G165" s="7"/>
      <c r="H165" s="7"/>
    </row>
  </sheetData>
  <customSheetViews>
    <customSheetView guid="{413CAF1F-62E2-41F5-A4C6-2C341582DC5D}" scale="80" showPageBreaks="1" printArea="1">
      <pane ySplit="1" topLeftCell="A11" activePane="bottomLeft" state="frozen"/>
      <selection pane="bottomLeft" activeCell="F20" sqref="F20"/>
      <pageMargins left="0" right="0" top="0" bottom="0" header="0" footer="0"/>
      <printOptions gridLines="1"/>
      <pageSetup paperSize="9" scale="70" orientation="landscape" r:id="rId1"/>
      <headerFooter alignWithMargins="0">
        <oddHeader xml:space="preserve">&amp;C
2019. .............hó...............-ig     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/>
      <pageMargins left="0" right="0" top="0" bottom="0" header="0" footer="0"/>
      <printOptions gridLines="1"/>
      <pageSetup paperSize="9" scale="70" orientation="landscape" r:id="rId2"/>
      <headerFooter alignWithMargins="0">
        <oddHeader xml:space="preserve">&amp;C
2019. .............hó...............-ig     </oddHeader>
      </headerFooter>
    </customSheetView>
    <customSheetView guid="{07BAD8F1-49B6-40C7-A1B5-B8EF23A4A904}" scale="80" showPageBreaks="1" printArea="1">
      <pane ySplit="1" topLeftCell="A11" activePane="bottomLeft" state="frozen"/>
      <selection pane="bottomLeft" activeCell="F20" sqref="F20"/>
      <pageMargins left="0" right="0" top="0" bottom="0" header="0" footer="0"/>
      <printOptions gridLines="1"/>
      <pageSetup paperSize="9" scale="70" orientation="landscape" r:id="rId3"/>
      <headerFooter alignWithMargins="0">
        <oddHeader xml:space="preserve">&amp;C
2019. .............hó...............-ig     </oddHeader>
      </headerFooter>
    </customSheetView>
    <customSheetView guid="{4B58F0A9-071E-4376-B7AD-463366669E19}" scale="80">
      <pane ySplit="1" topLeftCell="A11" activePane="bottomLeft" state="frozen"/>
      <selection pane="bottomLeft" activeCell="F20" sqref="F20"/>
      <pageMargins left="0" right="0" top="0" bottom="0" header="0" footer="0"/>
      <printOptions gridLines="1"/>
      <pageSetup paperSize="9" scale="70" orientation="landscape" r:id="rId4"/>
      <headerFooter alignWithMargins="0">
        <oddHeader xml:space="preserve">&amp;C
2019. .............hó...............-ig     </oddHeader>
      </headerFooter>
    </customSheetView>
    <customSheetView guid="{63A8D7FC-210D-4D74-8AB0-DBA9D993D16B}" scale="80" showPageBreaks="1" printArea="1">
      <pane ySplit="1" topLeftCell="A11" activePane="bottomLeft" state="frozen"/>
      <selection pane="bottomLeft" activeCell="F20" sqref="F20"/>
      <pageMargins left="0" right="0" top="0" bottom="0" header="0" footer="0"/>
      <printOptions gridLines="1"/>
      <pageSetup paperSize="9" scale="70" orientation="landscape" r:id="rId5"/>
      <headerFooter alignWithMargins="0">
        <oddHeader xml:space="preserve">&amp;C
2019. .............hó...............-ig     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I18" sqref="I18"/>
      <pageMargins left="0" right="0" top="0" bottom="0" header="0" footer="0"/>
      <printOptions gridLines="1"/>
      <pageSetup paperSize="9" scale="70" orientation="landscape" r:id="rId6"/>
      <headerFooter alignWithMargins="0">
        <oddHeader xml:space="preserve">&amp;C
2019. .............hó...............-ig     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F17" sqref="F17"/>
      <pageMargins left="0" right="0" top="0" bottom="0" header="0" footer="0"/>
      <printOptions gridLines="1"/>
      <pageSetup paperSize="9" scale="70" orientation="landscape" r:id="rId7"/>
      <headerFooter alignWithMargins="0">
        <oddHeader xml:space="preserve">&amp;C
2019. .............hó...............-ig     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F25" sqref="F25"/>
      <pageMargins left="0" right="0" top="0" bottom="0" header="0" footer="0"/>
      <printOptions gridLines="1"/>
      <pageSetup paperSize="9" scale="70" orientation="landscape" r:id="rId8"/>
      <headerFooter alignWithMargins="0">
        <oddHeader xml:space="preserve">&amp;C
2019. .............hó...............-ig     </oddHeader>
      </headerFooter>
    </customSheetView>
    <customSheetView guid="{A47E18E7-D250-4913-909E-65F626A4EC80}" scale="80" showPageBreaks="1" printArea="1">
      <pane ySplit="1" topLeftCell="A11" activePane="bottomLeft" state="frozen"/>
      <selection pane="bottomLeft" activeCell="F20" sqref="F20"/>
      <pageMargins left="0" right="0" top="0" bottom="0" header="0" footer="0"/>
      <printOptions gridLines="1"/>
      <pageSetup paperSize="9" scale="70" orientation="landscape" r:id="rId9"/>
      <headerFooter alignWithMargins="0">
        <oddHeader xml:space="preserve">&amp;C
2019. .............hó...............-ig     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I18" sqref="I18"/>
      <pageMargins left="0" right="0" top="0" bottom="0" header="0" footer="0"/>
      <printOptions gridLines="1"/>
      <pageSetup paperSize="9" scale="70" orientation="landscape" r:id="rId10"/>
      <headerFooter alignWithMargins="0">
        <oddHeader xml:space="preserve">&amp;C
2019. .............hó...............-ig     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F20" sqref="F20"/>
      <pageMargins left="0" right="0" top="0" bottom="0" header="0" footer="0"/>
      <printOptions gridLines="1"/>
      <pageSetup paperSize="9" scale="70" orientation="landscape" r:id="rId11"/>
      <headerFooter alignWithMargins="0">
        <oddHeader xml:space="preserve">&amp;C
2019. .............hó...............-ig     </oddHeader>
      </headerFooter>
    </customSheetView>
    <customSheetView guid="{0D091791-6928-48DD-B75F-0677FDB23A54}" scale="80" showPageBreaks="1" printArea="1">
      <pane ySplit="1" topLeftCell="A11" activePane="bottomLeft" state="frozen"/>
      <selection pane="bottomLeft" activeCell="F20" sqref="F20"/>
      <pageMargins left="0" right="0" top="0" bottom="0" header="0" footer="0"/>
      <printOptions gridLines="1"/>
      <pageSetup paperSize="9" scale="70" orientation="landscape" r:id="rId12"/>
      <headerFooter alignWithMargins="0">
        <oddHeader xml:space="preserve">&amp;C
2019. .............hó...............-ig     </oddHeader>
      </headerFooter>
    </customSheetView>
  </customSheetViews>
  <printOptions gridLines="1"/>
  <pageMargins left="0.51181102362204722" right="0.11811023622047245" top="0.78740157480314965" bottom="0.55118110236220474" header="0.31496062992125984" footer="0.31496062992125984"/>
  <pageSetup paperSize="9" scale="70" orientation="landscape" r:id="rId13"/>
  <headerFooter alignWithMargins="0">
    <oddHeader xml:space="preserve">&amp;C
2019. .............hó...............-ig     </oddHeader>
  </headerFooter>
  <legacy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unka2"/>
  <dimension ref="A1:I152"/>
  <sheetViews>
    <sheetView topLeftCell="A7" zoomScale="80" zoomScaleNormal="80" workbookViewId="0">
      <selection activeCell="F11" sqref="F11"/>
    </sheetView>
  </sheetViews>
  <sheetFormatPr defaultRowHeight="12.75" x14ac:dyDescent="0.2"/>
  <cols>
    <col min="1" max="1" width="12.28515625" style="1" customWidth="1"/>
    <col min="2" max="8" width="29.28515625" customWidth="1"/>
    <col min="9" max="9" width="30.7109375" customWidth="1"/>
  </cols>
  <sheetData>
    <row r="1" spans="1:9" ht="32.25" customHeight="1" thickBot="1" x14ac:dyDescent="0.25">
      <c r="A1" s="2"/>
      <c r="B1" s="4" t="s">
        <v>77</v>
      </c>
      <c r="C1" s="4" t="s">
        <v>78</v>
      </c>
      <c r="D1" s="4" t="s">
        <v>79</v>
      </c>
      <c r="E1" s="4" t="s">
        <v>80</v>
      </c>
      <c r="F1" s="4" t="s">
        <v>81</v>
      </c>
      <c r="G1" s="4" t="s">
        <v>82</v>
      </c>
      <c r="H1" s="4" t="s">
        <v>83</v>
      </c>
      <c r="I1" s="4"/>
    </row>
    <row r="2" spans="1:9" ht="15" customHeight="1" x14ac:dyDescent="0.2">
      <c r="A2" s="3"/>
      <c r="B2" s="18" t="s">
        <v>84</v>
      </c>
      <c r="C2" s="18" t="s">
        <v>85</v>
      </c>
      <c r="D2" s="18" t="s">
        <v>86</v>
      </c>
      <c r="E2" s="18" t="s">
        <v>87</v>
      </c>
      <c r="F2" s="18" t="s">
        <v>88</v>
      </c>
      <c r="G2" s="8"/>
      <c r="H2" s="8"/>
      <c r="I2" s="5"/>
    </row>
    <row r="3" spans="1:9" ht="15" customHeight="1" x14ac:dyDescent="0.2">
      <c r="A3" s="3"/>
      <c r="B3" s="17" t="s">
        <v>89</v>
      </c>
      <c r="C3" s="6" t="s">
        <v>90</v>
      </c>
      <c r="D3" s="17" t="s">
        <v>91</v>
      </c>
      <c r="E3" s="17" t="s">
        <v>92</v>
      </c>
      <c r="F3" s="17" t="s">
        <v>93</v>
      </c>
      <c r="G3" s="6"/>
      <c r="H3" s="6"/>
      <c r="I3" s="5"/>
    </row>
    <row r="4" spans="1:9" ht="15" customHeight="1" x14ac:dyDescent="0.2">
      <c r="A4" s="3"/>
      <c r="B4" s="13" t="s">
        <v>94</v>
      </c>
      <c r="C4" s="6" t="s">
        <v>95</v>
      </c>
      <c r="D4" s="17" t="s">
        <v>96</v>
      </c>
      <c r="E4" s="6" t="s">
        <v>97</v>
      </c>
      <c r="F4" s="13" t="s">
        <v>98</v>
      </c>
      <c r="G4" s="6"/>
      <c r="H4" s="6"/>
      <c r="I4" s="5"/>
    </row>
    <row r="5" spans="1:9" ht="15" customHeight="1" x14ac:dyDescent="0.2">
      <c r="A5" s="3" t="s">
        <v>18</v>
      </c>
      <c r="B5" s="6" t="s">
        <v>99</v>
      </c>
      <c r="C5" s="17" t="s">
        <v>15</v>
      </c>
      <c r="D5" s="6"/>
      <c r="E5" s="6"/>
      <c r="F5" s="17" t="s">
        <v>100</v>
      </c>
      <c r="G5" s="6"/>
      <c r="H5" s="6"/>
    </row>
    <row r="6" spans="1:9" ht="15" customHeight="1" x14ac:dyDescent="0.2">
      <c r="A6" s="39" t="s">
        <v>19</v>
      </c>
      <c r="B6" s="6"/>
      <c r="C6" s="6"/>
      <c r="D6" s="6"/>
      <c r="E6" s="6"/>
      <c r="F6" s="6"/>
      <c r="G6" s="6"/>
      <c r="H6" s="6"/>
    </row>
    <row r="7" spans="1:9" ht="15" customHeight="1" x14ac:dyDescent="0.2">
      <c r="B7" s="25"/>
      <c r="C7" s="25"/>
      <c r="D7" s="25"/>
      <c r="E7" s="25"/>
      <c r="F7" s="25"/>
      <c r="G7" s="25"/>
      <c r="H7" s="25"/>
    </row>
    <row r="8" spans="1:9" ht="15" customHeight="1" thickBot="1" x14ac:dyDescent="0.25">
      <c r="A8" s="14" t="s">
        <v>20</v>
      </c>
      <c r="B8" s="16" t="s">
        <v>21</v>
      </c>
      <c r="C8" s="15" t="s">
        <v>101</v>
      </c>
      <c r="D8" s="41" t="s">
        <v>101</v>
      </c>
      <c r="E8" s="41" t="s">
        <v>101</v>
      </c>
      <c r="F8" s="41" t="s">
        <v>101</v>
      </c>
      <c r="G8" s="16"/>
      <c r="H8" s="16"/>
    </row>
    <row r="9" spans="1:9" ht="15" customHeight="1" thickTop="1" x14ac:dyDescent="0.2">
      <c r="B9" s="18" t="s">
        <v>84</v>
      </c>
      <c r="C9" s="18" t="s">
        <v>102</v>
      </c>
      <c r="D9" s="202" t="s">
        <v>103</v>
      </c>
      <c r="E9" s="47" t="s">
        <v>104</v>
      </c>
      <c r="F9" s="130" t="s">
        <v>105</v>
      </c>
      <c r="G9" s="58"/>
      <c r="H9" s="8"/>
    </row>
    <row r="10" spans="1:9" ht="15" customHeight="1" x14ac:dyDescent="0.2">
      <c r="B10" s="6" t="s">
        <v>106</v>
      </c>
      <c r="C10" s="17" t="s">
        <v>107</v>
      </c>
      <c r="D10" s="203"/>
      <c r="E10" s="48" t="s">
        <v>108</v>
      </c>
      <c r="F10" s="123" t="s">
        <v>109</v>
      </c>
      <c r="G10" s="45"/>
      <c r="H10" s="6"/>
    </row>
    <row r="11" spans="1:9" ht="15" customHeight="1" x14ac:dyDescent="0.2">
      <c r="A11" s="2" t="s">
        <v>18</v>
      </c>
      <c r="B11" s="6" t="s">
        <v>110</v>
      </c>
      <c r="C11" s="17" t="s">
        <v>111</v>
      </c>
      <c r="D11" s="124"/>
      <c r="E11" s="43" t="s">
        <v>112</v>
      </c>
      <c r="F11" s="123" t="s">
        <v>113</v>
      </c>
      <c r="G11" s="45"/>
      <c r="H11" s="6"/>
    </row>
    <row r="12" spans="1:9" ht="15" customHeight="1" x14ac:dyDescent="0.2">
      <c r="A12" s="2" t="s">
        <v>30</v>
      </c>
      <c r="B12" s="17" t="s">
        <v>114</v>
      </c>
      <c r="C12" s="17" t="s">
        <v>115</v>
      </c>
      <c r="D12" s="124"/>
      <c r="E12" s="43" t="s">
        <v>116</v>
      </c>
      <c r="F12" s="123"/>
      <c r="G12" s="45"/>
      <c r="H12" s="6"/>
    </row>
    <row r="13" spans="1:9" ht="15" customHeight="1" x14ac:dyDescent="0.2">
      <c r="A13" s="2"/>
      <c r="B13" s="6"/>
      <c r="C13" s="40"/>
      <c r="D13" s="124"/>
      <c r="E13" s="43" t="s">
        <v>117</v>
      </c>
      <c r="F13" s="123"/>
      <c r="G13" s="45"/>
      <c r="H13" s="6"/>
    </row>
    <row r="14" spans="1:9" ht="15" customHeight="1" x14ac:dyDescent="0.2">
      <c r="B14" s="25"/>
      <c r="C14" s="13" t="s">
        <v>118</v>
      </c>
      <c r="D14" s="125"/>
      <c r="E14" s="56"/>
      <c r="F14" s="131"/>
      <c r="G14" s="46"/>
      <c r="H14" s="25"/>
    </row>
    <row r="15" spans="1:9" ht="15" customHeight="1" thickBot="1" x14ac:dyDescent="0.25">
      <c r="A15" s="14" t="s">
        <v>20</v>
      </c>
      <c r="B15" s="42" t="s">
        <v>31</v>
      </c>
      <c r="C15" s="42" t="s">
        <v>31</v>
      </c>
      <c r="D15" s="194" t="s">
        <v>119</v>
      </c>
      <c r="E15" s="57" t="s">
        <v>31</v>
      </c>
      <c r="F15" s="88" t="s">
        <v>120</v>
      </c>
      <c r="G15" s="59"/>
      <c r="H15" s="42"/>
    </row>
    <row r="16" spans="1:9" ht="15" customHeight="1" thickTop="1" x14ac:dyDescent="0.2">
      <c r="B16" s="18" t="s">
        <v>84</v>
      </c>
      <c r="C16" s="17" t="s">
        <v>121</v>
      </c>
      <c r="D16" s="13" t="s">
        <v>122</v>
      </c>
      <c r="E16" s="17" t="s">
        <v>123</v>
      </c>
      <c r="F16" s="17" t="s">
        <v>124</v>
      </c>
      <c r="G16" s="6"/>
      <c r="H16" s="6"/>
    </row>
    <row r="17" spans="1:8" x14ac:dyDescent="0.2">
      <c r="B17" s="6"/>
      <c r="C17" s="17" t="s">
        <v>125</v>
      </c>
      <c r="D17" s="17" t="s">
        <v>126</v>
      </c>
      <c r="E17" s="17" t="s">
        <v>123</v>
      </c>
      <c r="F17" s="6"/>
      <c r="G17" s="6"/>
      <c r="H17" s="6"/>
    </row>
    <row r="18" spans="1:8" x14ac:dyDescent="0.2">
      <c r="A18" s="2" t="s">
        <v>41</v>
      </c>
      <c r="B18" s="17" t="s">
        <v>127</v>
      </c>
      <c r="C18" s="17" t="s">
        <v>128</v>
      </c>
      <c r="D18" s="6" t="s">
        <v>129</v>
      </c>
      <c r="E18" s="6" t="s">
        <v>130</v>
      </c>
      <c r="F18" s="6"/>
      <c r="G18" s="6"/>
      <c r="H18" s="6"/>
    </row>
    <row r="19" spans="1:8" x14ac:dyDescent="0.2">
      <c r="A19" s="2" t="s">
        <v>43</v>
      </c>
      <c r="B19" s="17" t="s">
        <v>131</v>
      </c>
      <c r="C19" s="6" t="s">
        <v>132</v>
      </c>
      <c r="D19" s="6" t="s">
        <v>133</v>
      </c>
      <c r="E19" s="48" t="s">
        <v>134</v>
      </c>
      <c r="F19" s="6"/>
      <c r="G19" s="6"/>
      <c r="H19" s="6"/>
    </row>
    <row r="20" spans="1:8" x14ac:dyDescent="0.2">
      <c r="A20" s="2"/>
      <c r="B20" s="13" t="s">
        <v>135</v>
      </c>
      <c r="C20" s="6" t="s">
        <v>136</v>
      </c>
      <c r="D20" s="6"/>
      <c r="E20" s="48" t="s">
        <v>137</v>
      </c>
      <c r="F20" s="6"/>
      <c r="G20" s="6"/>
      <c r="H20" s="6"/>
    </row>
    <row r="21" spans="1:8" x14ac:dyDescent="0.2">
      <c r="B21" s="25"/>
      <c r="C21" s="25"/>
      <c r="D21" s="25"/>
      <c r="E21" s="25"/>
      <c r="F21" s="25"/>
      <c r="G21" s="25"/>
      <c r="H21" s="25"/>
    </row>
    <row r="22" spans="1:8" ht="13.5" thickBot="1" x14ac:dyDescent="0.25">
      <c r="A22" s="14" t="s">
        <v>20</v>
      </c>
      <c r="B22" s="16" t="s">
        <v>138</v>
      </c>
      <c r="C22" s="15" t="s">
        <v>139</v>
      </c>
      <c r="D22" s="16" t="s">
        <v>138</v>
      </c>
      <c r="E22" s="16" t="s">
        <v>138</v>
      </c>
      <c r="F22" s="15" t="s">
        <v>45</v>
      </c>
      <c r="G22" s="16"/>
      <c r="H22" s="16"/>
    </row>
    <row r="23" spans="1:8" ht="13.5" thickTop="1" x14ac:dyDescent="0.2">
      <c r="B23" s="18" t="s">
        <v>84</v>
      </c>
      <c r="C23" s="17" t="s">
        <v>48</v>
      </c>
      <c r="D23" s="17" t="s">
        <v>48</v>
      </c>
      <c r="E23" s="17" t="s">
        <v>48</v>
      </c>
      <c r="F23" s="17" t="s">
        <v>48</v>
      </c>
      <c r="G23" s="6"/>
      <c r="H23" s="6"/>
    </row>
    <row r="24" spans="1:8" x14ac:dyDescent="0.2">
      <c r="B24" s="6"/>
      <c r="C24" s="6"/>
      <c r="D24" s="17"/>
      <c r="E24" s="6"/>
      <c r="F24" s="6"/>
      <c r="G24" s="6"/>
      <c r="H24" s="6"/>
    </row>
    <row r="25" spans="1:8" x14ac:dyDescent="0.2">
      <c r="A25" s="2" t="s">
        <v>41</v>
      </c>
      <c r="B25" s="13" t="s">
        <v>25</v>
      </c>
      <c r="C25" s="6"/>
      <c r="D25" s="17"/>
      <c r="E25" s="6"/>
      <c r="F25" s="6"/>
      <c r="G25" s="6"/>
      <c r="H25" s="6"/>
    </row>
    <row r="26" spans="1:8" x14ac:dyDescent="0.2">
      <c r="A26" s="2" t="s">
        <v>50</v>
      </c>
      <c r="B26" s="6"/>
      <c r="C26" s="6"/>
      <c r="D26" s="17"/>
      <c r="E26" s="6"/>
      <c r="F26" s="6"/>
      <c r="G26" s="6"/>
      <c r="H26" s="6"/>
    </row>
    <row r="27" spans="1:8" x14ac:dyDescent="0.2">
      <c r="B27" s="6"/>
      <c r="C27" s="6"/>
      <c r="D27" s="6"/>
      <c r="E27" s="6"/>
      <c r="F27" s="6"/>
      <c r="G27" s="6"/>
      <c r="H27" s="6"/>
    </row>
    <row r="28" spans="1:8" x14ac:dyDescent="0.2">
      <c r="A28" s="9"/>
      <c r="B28" s="25"/>
      <c r="C28" s="25" t="s">
        <v>140</v>
      </c>
      <c r="D28" s="25"/>
      <c r="E28" s="25"/>
      <c r="F28" s="25"/>
      <c r="G28" s="25"/>
      <c r="H28" s="25"/>
    </row>
    <row r="29" spans="1:8" ht="13.5" thickBot="1" x14ac:dyDescent="0.25">
      <c r="A29" s="14" t="s">
        <v>20</v>
      </c>
      <c r="B29" s="15" t="s">
        <v>141</v>
      </c>
      <c r="C29" s="16" t="s">
        <v>52</v>
      </c>
      <c r="D29" s="16" t="s">
        <v>52</v>
      </c>
      <c r="E29" s="6" t="s">
        <v>52</v>
      </c>
      <c r="F29" s="16" t="s">
        <v>52</v>
      </c>
      <c r="G29" s="16"/>
      <c r="H29" s="16"/>
    </row>
    <row r="30" spans="1:8" ht="13.5" thickTop="1" x14ac:dyDescent="0.2">
      <c r="A30" s="9"/>
      <c r="B30" s="6"/>
      <c r="C30" s="6"/>
      <c r="E30" s="18" t="s">
        <v>142</v>
      </c>
      <c r="F30" s="53" t="s">
        <v>143</v>
      </c>
      <c r="G30" s="6"/>
      <c r="H30" s="6"/>
    </row>
    <row r="31" spans="1:8" x14ac:dyDescent="0.2">
      <c r="A31" s="26"/>
      <c r="B31" s="6"/>
      <c r="C31" s="6"/>
      <c r="D31" s="40" t="s">
        <v>144</v>
      </c>
      <c r="E31" s="13" t="s">
        <v>145</v>
      </c>
      <c r="F31" s="45"/>
      <c r="G31" s="6"/>
      <c r="H31" s="6"/>
    </row>
    <row r="32" spans="1:8" x14ac:dyDescent="0.2">
      <c r="A32" s="26" t="s">
        <v>59</v>
      </c>
      <c r="B32" s="6"/>
      <c r="C32" s="6"/>
      <c r="D32" s="43" t="s">
        <v>134</v>
      </c>
      <c r="E32" s="17" t="s">
        <v>146</v>
      </c>
      <c r="F32" s="45"/>
      <c r="G32" s="6"/>
      <c r="H32" s="6"/>
    </row>
    <row r="33" spans="1:9" x14ac:dyDescent="0.2">
      <c r="A33" s="26" t="s">
        <v>60</v>
      </c>
      <c r="B33" s="6"/>
      <c r="C33" s="6"/>
      <c r="D33" s="43" t="s">
        <v>137</v>
      </c>
      <c r="E33" s="17" t="s">
        <v>147</v>
      </c>
      <c r="F33" s="45"/>
      <c r="G33" s="6"/>
      <c r="H33" s="6"/>
    </row>
    <row r="34" spans="1:9" x14ac:dyDescent="0.2">
      <c r="A34" s="26"/>
      <c r="B34" s="6"/>
      <c r="C34" s="6"/>
      <c r="D34" s="50" t="s">
        <v>148</v>
      </c>
      <c r="E34" s="17" t="s">
        <v>149</v>
      </c>
      <c r="F34" s="45"/>
      <c r="G34" s="32"/>
      <c r="H34" s="6"/>
      <c r="I34" s="7"/>
    </row>
    <row r="35" spans="1:9" x14ac:dyDescent="0.2">
      <c r="A35" s="26"/>
      <c r="B35" s="25"/>
      <c r="C35" s="25"/>
      <c r="D35" s="51" t="s">
        <v>150</v>
      </c>
      <c r="E35" s="25"/>
      <c r="F35" s="46"/>
      <c r="G35" s="25"/>
      <c r="H35" s="25"/>
    </row>
    <row r="36" spans="1:9" ht="13.5" thickBot="1" x14ac:dyDescent="0.25">
      <c r="A36" s="14" t="s">
        <v>20</v>
      </c>
      <c r="B36" s="16"/>
      <c r="C36" s="16"/>
      <c r="D36" s="44" t="s">
        <v>31</v>
      </c>
      <c r="E36" s="41" t="s">
        <v>151</v>
      </c>
      <c r="F36" s="49" t="s">
        <v>152</v>
      </c>
      <c r="G36" s="16"/>
      <c r="H36" s="16"/>
    </row>
    <row r="37" spans="1:9" ht="13.5" thickTop="1" x14ac:dyDescent="0.2">
      <c r="A37" s="10"/>
      <c r="B37" s="6"/>
      <c r="C37" s="6"/>
      <c r="D37" s="6"/>
      <c r="E37" s="6"/>
      <c r="F37" s="6"/>
      <c r="G37" s="6"/>
      <c r="H37" s="6"/>
    </row>
    <row r="38" spans="1:9" x14ac:dyDescent="0.2">
      <c r="A38" s="26" t="s">
        <v>66</v>
      </c>
      <c r="B38" s="6"/>
      <c r="C38" s="6"/>
      <c r="D38" s="6"/>
      <c r="E38" s="6"/>
      <c r="F38" s="6"/>
      <c r="G38" s="6"/>
      <c r="H38" s="6"/>
    </row>
    <row r="39" spans="1:9" x14ac:dyDescent="0.2">
      <c r="A39" s="26" t="s">
        <v>67</v>
      </c>
      <c r="B39" s="6"/>
      <c r="C39" s="6"/>
      <c r="D39" s="6"/>
      <c r="E39" s="6"/>
      <c r="F39" s="6"/>
      <c r="G39" s="6"/>
      <c r="H39" s="6"/>
    </row>
    <row r="40" spans="1:9" x14ac:dyDescent="0.2">
      <c r="A40" s="26"/>
      <c r="B40" s="25"/>
      <c r="C40" s="25"/>
      <c r="D40" s="25"/>
      <c r="E40" s="25"/>
      <c r="F40" s="25"/>
      <c r="G40" s="25"/>
      <c r="H40" s="25"/>
    </row>
    <row r="41" spans="1:9" ht="13.5" thickBot="1" x14ac:dyDescent="0.25">
      <c r="A41" s="14" t="s">
        <v>20</v>
      </c>
      <c r="B41" s="16"/>
      <c r="C41" s="16"/>
      <c r="D41" s="16"/>
      <c r="E41" s="16"/>
      <c r="F41" s="16"/>
      <c r="G41" s="16"/>
      <c r="H41" s="16"/>
    </row>
    <row r="42" spans="1:9" ht="13.5" thickTop="1" x14ac:dyDescent="0.2">
      <c r="B42" s="6"/>
      <c r="C42" s="6"/>
      <c r="D42" s="6"/>
      <c r="E42" s="6"/>
      <c r="F42" s="6"/>
      <c r="G42" s="6"/>
      <c r="H42" s="6"/>
    </row>
    <row r="43" spans="1:9" x14ac:dyDescent="0.2">
      <c r="A43" s="2" t="s">
        <v>71</v>
      </c>
      <c r="B43" s="6"/>
      <c r="C43" s="6"/>
      <c r="D43" s="6"/>
      <c r="E43" s="6"/>
      <c r="F43" s="6"/>
      <c r="G43" s="6"/>
      <c r="H43" s="6"/>
    </row>
    <row r="44" spans="1:9" x14ac:dyDescent="0.2">
      <c r="A44" s="2" t="s">
        <v>72</v>
      </c>
      <c r="B44" s="25"/>
      <c r="C44" s="25"/>
      <c r="D44" s="25"/>
      <c r="E44" s="25"/>
      <c r="F44" s="25"/>
      <c r="G44" s="25"/>
      <c r="H44" s="25"/>
    </row>
    <row r="45" spans="1:9" ht="13.5" thickBot="1" x14ac:dyDescent="0.25">
      <c r="A45" s="14" t="s">
        <v>20</v>
      </c>
      <c r="B45" s="16"/>
      <c r="C45" s="16"/>
      <c r="D45" s="16"/>
      <c r="E45" s="16"/>
      <c r="F45" s="16"/>
      <c r="G45" s="16"/>
      <c r="H45" s="16"/>
    </row>
    <row r="46" spans="1:9" ht="13.5" thickTop="1" x14ac:dyDescent="0.2">
      <c r="A46" s="11"/>
      <c r="B46" s="21" t="s">
        <v>153</v>
      </c>
      <c r="C46" s="21" t="s">
        <v>153</v>
      </c>
      <c r="D46" s="21" t="s">
        <v>153</v>
      </c>
      <c r="E46" s="7"/>
      <c r="F46" s="37" t="s">
        <v>154</v>
      </c>
      <c r="G46" s="7"/>
      <c r="H46" s="7"/>
    </row>
    <row r="47" spans="1:9" x14ac:dyDescent="0.2">
      <c r="A47" s="11"/>
      <c r="B47" s="31" t="s">
        <v>52</v>
      </c>
      <c r="C47" s="21" t="s">
        <v>46</v>
      </c>
      <c r="D47" s="7"/>
      <c r="E47" s="7"/>
      <c r="F47" s="7"/>
      <c r="G47" s="7"/>
      <c r="H47" s="7"/>
    </row>
    <row r="48" spans="1:9" x14ac:dyDescent="0.2">
      <c r="A48" s="9"/>
      <c r="B48" s="7"/>
      <c r="C48" s="7"/>
      <c r="D48" s="7"/>
      <c r="E48" s="7"/>
      <c r="F48" s="7"/>
      <c r="G48" s="7"/>
      <c r="H48" s="7"/>
    </row>
    <row r="49" spans="1:8" ht="13.5" thickBot="1" x14ac:dyDescent="0.25">
      <c r="A49" s="248" t="s">
        <v>75</v>
      </c>
      <c r="B49" s="251" t="s">
        <v>76</v>
      </c>
      <c r="D49" s="7"/>
      <c r="E49" s="7"/>
      <c r="F49" s="7"/>
      <c r="G49" s="7"/>
      <c r="H49" s="7"/>
    </row>
    <row r="50" spans="1:8" ht="13.5" thickTop="1" x14ac:dyDescent="0.2">
      <c r="A50" s="9"/>
      <c r="B50" s="7"/>
      <c r="C50" s="7"/>
      <c r="D50" s="7"/>
      <c r="E50" s="7"/>
      <c r="F50" s="7"/>
      <c r="G50" s="7"/>
      <c r="H50" s="7"/>
    </row>
    <row r="51" spans="1:8" x14ac:dyDescent="0.2">
      <c r="A51" s="9"/>
      <c r="B51" s="7"/>
      <c r="C51" s="7"/>
      <c r="D51" s="7"/>
      <c r="E51" s="7"/>
      <c r="F51" s="7"/>
      <c r="G51" s="7"/>
      <c r="H51" s="7"/>
    </row>
    <row r="52" spans="1:8" x14ac:dyDescent="0.2">
      <c r="A52" s="9"/>
      <c r="B52" s="7"/>
      <c r="C52" s="7"/>
      <c r="D52" s="7"/>
      <c r="E52" s="7"/>
      <c r="F52" s="7"/>
      <c r="G52" s="7"/>
      <c r="H52" s="7"/>
    </row>
    <row r="53" spans="1:8" x14ac:dyDescent="0.2">
      <c r="A53" s="9"/>
      <c r="B53" s="7"/>
      <c r="C53" s="7"/>
      <c r="D53" s="7"/>
      <c r="E53" s="7"/>
      <c r="F53" s="7"/>
      <c r="G53" s="7"/>
      <c r="H53" s="7"/>
    </row>
    <row r="54" spans="1:8" x14ac:dyDescent="0.2">
      <c r="A54" s="11"/>
      <c r="B54" s="7"/>
      <c r="C54" s="7"/>
      <c r="D54" s="7"/>
      <c r="E54" s="7"/>
      <c r="F54" s="7"/>
      <c r="G54" s="7"/>
      <c r="H54" s="7"/>
    </row>
    <row r="55" spans="1:8" x14ac:dyDescent="0.2">
      <c r="A55" s="11"/>
      <c r="B55" s="7"/>
      <c r="C55" s="7"/>
      <c r="D55" s="7"/>
      <c r="E55" s="7"/>
      <c r="F55" s="7"/>
      <c r="G55" s="7"/>
      <c r="H55" s="7"/>
    </row>
    <row r="56" spans="1:8" x14ac:dyDescent="0.2">
      <c r="A56" s="9"/>
      <c r="B56" s="7"/>
      <c r="C56" s="7"/>
      <c r="D56" s="7"/>
      <c r="E56" s="7"/>
      <c r="F56" s="7"/>
      <c r="G56" s="7"/>
      <c r="H56" s="7"/>
    </row>
    <row r="57" spans="1:8" x14ac:dyDescent="0.2">
      <c r="A57" s="9"/>
      <c r="B57" s="7"/>
      <c r="C57" s="7"/>
      <c r="D57" s="7"/>
      <c r="E57" s="7"/>
      <c r="F57" s="7"/>
      <c r="G57" s="7"/>
      <c r="H57" s="7"/>
    </row>
    <row r="58" spans="1:8" x14ac:dyDescent="0.2">
      <c r="A58" s="9"/>
      <c r="B58" s="7"/>
      <c r="C58" s="7"/>
      <c r="D58" s="7"/>
      <c r="E58" s="7"/>
      <c r="F58" s="7"/>
      <c r="G58" s="7"/>
      <c r="H58" s="7"/>
    </row>
    <row r="59" spans="1:8" x14ac:dyDescent="0.2">
      <c r="A59" s="9"/>
      <c r="B59" s="7"/>
      <c r="C59" s="7"/>
      <c r="D59" s="7"/>
      <c r="E59" s="7"/>
      <c r="F59" s="7"/>
      <c r="G59" s="7"/>
      <c r="H59" s="7"/>
    </row>
    <row r="60" spans="1:8" x14ac:dyDescent="0.2">
      <c r="A60" s="9"/>
      <c r="B60" s="7"/>
      <c r="C60" s="7"/>
      <c r="D60" s="7"/>
      <c r="E60" s="7"/>
      <c r="F60" s="7"/>
      <c r="G60" s="7"/>
      <c r="H60" s="7"/>
    </row>
    <row r="61" spans="1:8" x14ac:dyDescent="0.2">
      <c r="A61" s="9"/>
      <c r="B61" s="7"/>
      <c r="C61" s="7"/>
      <c r="D61" s="7"/>
      <c r="E61" s="7"/>
      <c r="F61" s="7"/>
      <c r="G61" s="7"/>
      <c r="H61" s="7"/>
    </row>
    <row r="62" spans="1:8" x14ac:dyDescent="0.2">
      <c r="A62" s="9"/>
      <c r="B62" s="7"/>
      <c r="C62" s="7"/>
      <c r="D62" s="7"/>
      <c r="E62" s="7"/>
      <c r="F62" s="7"/>
      <c r="G62" s="7"/>
      <c r="H62" s="7"/>
    </row>
    <row r="63" spans="1:8" x14ac:dyDescent="0.2">
      <c r="A63" s="11"/>
      <c r="B63" s="7"/>
      <c r="C63" s="7"/>
      <c r="D63" s="7"/>
      <c r="E63" s="7"/>
      <c r="F63" s="7"/>
      <c r="G63" s="7"/>
      <c r="H63" s="7"/>
    </row>
    <row r="64" spans="1:8" x14ac:dyDescent="0.2">
      <c r="A64" s="11"/>
      <c r="B64" s="7"/>
      <c r="C64" s="7"/>
      <c r="D64" s="7"/>
      <c r="E64" s="7"/>
      <c r="F64" s="7"/>
      <c r="G64" s="7"/>
      <c r="H64" s="7"/>
    </row>
    <row r="65" spans="1:8" x14ac:dyDescent="0.2">
      <c r="A65" s="9"/>
      <c r="B65" s="7"/>
      <c r="C65" s="7"/>
      <c r="D65" s="7"/>
      <c r="E65" s="7"/>
      <c r="F65" s="7"/>
      <c r="G65" s="7"/>
      <c r="H65" s="7"/>
    </row>
    <row r="66" spans="1:8" x14ac:dyDescent="0.2">
      <c r="A66" s="9"/>
      <c r="B66" s="7"/>
      <c r="C66" s="7"/>
      <c r="D66" s="7"/>
      <c r="E66" s="7"/>
      <c r="F66" s="7"/>
      <c r="G66" s="7"/>
      <c r="H66" s="7"/>
    </row>
    <row r="67" spans="1:8" x14ac:dyDescent="0.2">
      <c r="A67" s="9"/>
      <c r="B67" s="7"/>
      <c r="C67" s="7"/>
      <c r="D67" s="7"/>
      <c r="E67" s="7"/>
      <c r="F67" s="7"/>
      <c r="G67" s="7"/>
      <c r="H67" s="7"/>
    </row>
    <row r="68" spans="1:8" x14ac:dyDescent="0.2">
      <c r="A68" s="9"/>
      <c r="B68" s="7"/>
      <c r="C68" s="7"/>
      <c r="D68" s="7"/>
      <c r="E68" s="7"/>
      <c r="F68" s="7"/>
      <c r="G68" s="7"/>
      <c r="H68" s="7"/>
    </row>
    <row r="69" spans="1:8" x14ac:dyDescent="0.2">
      <c r="A69" s="9"/>
      <c r="B69" s="7"/>
      <c r="C69" s="7"/>
      <c r="D69" s="7"/>
      <c r="E69" s="7"/>
      <c r="F69" s="7"/>
      <c r="G69" s="7"/>
      <c r="H69" s="7"/>
    </row>
    <row r="70" spans="1:8" x14ac:dyDescent="0.2">
      <c r="A70" s="9"/>
      <c r="B70" s="7"/>
      <c r="C70" s="7"/>
      <c r="D70" s="7"/>
      <c r="E70" s="7"/>
      <c r="F70" s="7"/>
      <c r="G70" s="7"/>
      <c r="H70" s="7"/>
    </row>
    <row r="71" spans="1:8" x14ac:dyDescent="0.2">
      <c r="A71" s="9"/>
      <c r="B71" s="7"/>
      <c r="C71" s="7"/>
      <c r="D71" s="7"/>
      <c r="E71" s="7"/>
      <c r="F71" s="7"/>
      <c r="G71" s="7"/>
      <c r="H71" s="7"/>
    </row>
    <row r="72" spans="1:8" x14ac:dyDescent="0.2">
      <c r="A72" s="11"/>
      <c r="B72" s="7"/>
      <c r="C72" s="7"/>
      <c r="D72" s="7"/>
      <c r="E72" s="7"/>
      <c r="F72" s="7"/>
      <c r="G72" s="7"/>
      <c r="H72" s="7"/>
    </row>
    <row r="73" spans="1:8" x14ac:dyDescent="0.2">
      <c r="A73" s="11"/>
      <c r="B73" s="7"/>
      <c r="C73" s="7"/>
      <c r="D73" s="7"/>
      <c r="E73" s="7"/>
      <c r="F73" s="7"/>
      <c r="G73" s="7"/>
      <c r="H73" s="7"/>
    </row>
    <row r="74" spans="1:8" x14ac:dyDescent="0.2">
      <c r="A74" s="9"/>
      <c r="B74" s="7"/>
      <c r="C74" s="7"/>
      <c r="D74" s="7"/>
      <c r="E74" s="7"/>
      <c r="F74" s="7"/>
      <c r="G74" s="7"/>
      <c r="H74" s="7"/>
    </row>
    <row r="75" spans="1:8" x14ac:dyDescent="0.2">
      <c r="A75" s="9"/>
      <c r="B75" s="7"/>
      <c r="C75" s="7"/>
      <c r="D75" s="7"/>
      <c r="E75" s="7"/>
      <c r="F75" s="7"/>
      <c r="G75" s="7"/>
      <c r="H75" s="7"/>
    </row>
    <row r="76" spans="1:8" x14ac:dyDescent="0.2">
      <c r="A76" s="9"/>
      <c r="B76" s="7"/>
      <c r="C76" s="7"/>
      <c r="D76" s="7"/>
      <c r="E76" s="7"/>
      <c r="F76" s="7"/>
      <c r="G76" s="7"/>
      <c r="H76" s="7"/>
    </row>
    <row r="77" spans="1:8" x14ac:dyDescent="0.2">
      <c r="A77" s="9"/>
      <c r="B77" s="7"/>
      <c r="C77" s="7"/>
      <c r="D77" s="7"/>
      <c r="E77" s="7"/>
      <c r="F77" s="7"/>
      <c r="G77" s="7"/>
      <c r="H77" s="7"/>
    </row>
    <row r="78" spans="1:8" x14ac:dyDescent="0.2">
      <c r="A78" s="9"/>
      <c r="B78" s="7"/>
      <c r="C78" s="7"/>
      <c r="D78" s="7"/>
      <c r="E78" s="7"/>
      <c r="F78" s="7"/>
      <c r="G78" s="7"/>
      <c r="H78" s="7"/>
    </row>
    <row r="79" spans="1:8" x14ac:dyDescent="0.2">
      <c r="A79" s="9"/>
      <c r="B79" s="7"/>
      <c r="C79" s="7"/>
      <c r="D79" s="7"/>
      <c r="E79" s="7"/>
      <c r="F79" s="7"/>
      <c r="G79" s="7"/>
      <c r="H79" s="7"/>
    </row>
    <row r="80" spans="1:8" x14ac:dyDescent="0.2">
      <c r="A80" s="9"/>
      <c r="B80" s="7"/>
      <c r="C80" s="7"/>
      <c r="D80" s="7"/>
      <c r="E80" s="7"/>
      <c r="F80" s="7"/>
      <c r="G80" s="7"/>
      <c r="H80" s="7"/>
    </row>
    <row r="81" spans="1:8" x14ac:dyDescent="0.2">
      <c r="A81" s="9"/>
      <c r="B81" s="7"/>
      <c r="C81" s="7"/>
      <c r="D81" s="7"/>
      <c r="E81" s="7"/>
      <c r="F81" s="7"/>
      <c r="G81" s="7"/>
      <c r="H81" s="7"/>
    </row>
    <row r="82" spans="1:8" x14ac:dyDescent="0.2">
      <c r="A82" s="9"/>
      <c r="B82" s="7"/>
      <c r="C82" s="7"/>
      <c r="D82" s="7"/>
      <c r="E82" s="7"/>
      <c r="F82" s="7"/>
      <c r="G82" s="7"/>
      <c r="H82" s="7"/>
    </row>
    <row r="83" spans="1:8" x14ac:dyDescent="0.2">
      <c r="A83" s="9"/>
      <c r="B83" s="7"/>
      <c r="C83" s="7"/>
      <c r="D83" s="7"/>
      <c r="E83" s="7"/>
      <c r="F83" s="7"/>
      <c r="G83" s="7"/>
      <c r="H83" s="7"/>
    </row>
    <row r="84" spans="1:8" x14ac:dyDescent="0.2">
      <c r="A84" s="9"/>
      <c r="B84" s="7"/>
      <c r="C84" s="7"/>
      <c r="D84" s="7"/>
      <c r="E84" s="7"/>
      <c r="F84" s="7"/>
      <c r="G84" s="7"/>
      <c r="H84" s="7"/>
    </row>
    <row r="85" spans="1:8" x14ac:dyDescent="0.2">
      <c r="A85" s="9"/>
      <c r="B85" s="7"/>
      <c r="C85" s="7"/>
      <c r="D85" s="7"/>
      <c r="E85" s="7"/>
      <c r="F85" s="7"/>
      <c r="G85" s="7"/>
      <c r="H85" s="7"/>
    </row>
    <row r="86" spans="1:8" x14ac:dyDescent="0.2">
      <c r="A86" s="9"/>
      <c r="B86" s="7"/>
      <c r="C86" s="7"/>
      <c r="D86" s="7"/>
      <c r="E86" s="7"/>
      <c r="F86" s="7"/>
      <c r="G86" s="7"/>
      <c r="H86" s="7"/>
    </row>
    <row r="87" spans="1:8" x14ac:dyDescent="0.2">
      <c r="A87" s="9"/>
      <c r="B87" s="7"/>
      <c r="C87" s="7"/>
      <c r="D87" s="7"/>
      <c r="E87" s="7"/>
      <c r="F87" s="7"/>
      <c r="G87" s="7"/>
      <c r="H87" s="7"/>
    </row>
    <row r="88" spans="1:8" x14ac:dyDescent="0.2">
      <c r="A88" s="9"/>
      <c r="B88" s="7"/>
      <c r="C88" s="7"/>
      <c r="D88" s="7"/>
      <c r="E88" s="7"/>
      <c r="F88" s="7"/>
      <c r="G88" s="7"/>
      <c r="H88" s="7"/>
    </row>
    <row r="89" spans="1:8" x14ac:dyDescent="0.2">
      <c r="A89" s="9"/>
      <c r="B89" s="7"/>
      <c r="C89" s="7"/>
      <c r="D89" s="7"/>
      <c r="E89" s="7"/>
      <c r="F89" s="7"/>
      <c r="G89" s="7"/>
      <c r="H89" s="7"/>
    </row>
    <row r="90" spans="1:8" x14ac:dyDescent="0.2">
      <c r="A90" s="9"/>
      <c r="B90" s="7"/>
      <c r="C90" s="7"/>
      <c r="D90" s="7"/>
      <c r="E90" s="7"/>
      <c r="F90" s="7"/>
      <c r="G90" s="7"/>
      <c r="H90" s="7"/>
    </row>
    <row r="91" spans="1:8" x14ac:dyDescent="0.2">
      <c r="A91" s="9"/>
      <c r="B91" s="7"/>
      <c r="C91" s="7"/>
      <c r="D91" s="7"/>
      <c r="E91" s="7"/>
      <c r="F91" s="7"/>
      <c r="G91" s="7"/>
      <c r="H91" s="7"/>
    </row>
    <row r="92" spans="1:8" x14ac:dyDescent="0.2">
      <c r="A92" s="9"/>
      <c r="B92" s="7"/>
      <c r="C92" s="7"/>
      <c r="D92" s="7"/>
      <c r="E92" s="7"/>
      <c r="F92" s="7"/>
      <c r="G92" s="7"/>
      <c r="H92" s="7"/>
    </row>
    <row r="93" spans="1:8" x14ac:dyDescent="0.2">
      <c r="A93" s="9"/>
      <c r="B93" s="7"/>
      <c r="C93" s="7"/>
      <c r="D93" s="7"/>
      <c r="E93" s="7"/>
      <c r="F93" s="7"/>
      <c r="G93" s="7"/>
      <c r="H93" s="7"/>
    </row>
    <row r="94" spans="1:8" x14ac:dyDescent="0.2">
      <c r="A94" s="9"/>
      <c r="B94" s="7"/>
      <c r="C94" s="7"/>
      <c r="D94" s="7"/>
      <c r="E94" s="7"/>
      <c r="F94" s="7"/>
      <c r="G94" s="7"/>
      <c r="H94" s="7"/>
    </row>
    <row r="95" spans="1:8" x14ac:dyDescent="0.2">
      <c r="A95" s="9"/>
      <c r="B95" s="7"/>
      <c r="C95" s="7"/>
      <c r="D95" s="7"/>
      <c r="E95" s="7"/>
      <c r="F95" s="7"/>
      <c r="G95" s="7"/>
      <c r="H95" s="7"/>
    </row>
    <row r="96" spans="1:8" x14ac:dyDescent="0.2">
      <c r="A96" s="9"/>
      <c r="B96" s="7"/>
      <c r="C96" s="7"/>
      <c r="D96" s="7"/>
      <c r="E96" s="7"/>
      <c r="F96" s="7"/>
      <c r="G96" s="7"/>
      <c r="H96" s="7"/>
    </row>
    <row r="97" spans="1:8" x14ac:dyDescent="0.2">
      <c r="A97" s="9"/>
      <c r="B97" s="7"/>
      <c r="C97" s="7"/>
      <c r="D97" s="7"/>
      <c r="E97" s="7"/>
      <c r="F97" s="7"/>
      <c r="G97" s="7"/>
      <c r="H97" s="7"/>
    </row>
    <row r="98" spans="1:8" x14ac:dyDescent="0.2">
      <c r="A98" s="9"/>
      <c r="B98" s="7"/>
      <c r="C98" s="7"/>
      <c r="D98" s="7"/>
      <c r="E98" s="7"/>
      <c r="F98" s="7"/>
      <c r="G98" s="7"/>
      <c r="H98" s="7"/>
    </row>
    <row r="99" spans="1:8" x14ac:dyDescent="0.2">
      <c r="A99" s="9"/>
      <c r="B99" s="7"/>
      <c r="C99" s="7"/>
      <c r="D99" s="7"/>
      <c r="E99" s="7"/>
      <c r="F99" s="7"/>
      <c r="G99" s="7"/>
      <c r="H99" s="7"/>
    </row>
    <row r="100" spans="1:8" x14ac:dyDescent="0.2">
      <c r="A100" s="9"/>
      <c r="B100" s="7"/>
      <c r="C100" s="7"/>
      <c r="D100" s="7"/>
      <c r="E100" s="7"/>
      <c r="F100" s="7"/>
      <c r="G100" s="7"/>
      <c r="H100" s="7"/>
    </row>
    <row r="101" spans="1:8" x14ac:dyDescent="0.2">
      <c r="A101" s="9"/>
      <c r="B101" s="7"/>
      <c r="C101" s="7"/>
      <c r="D101" s="7"/>
      <c r="E101" s="7"/>
      <c r="F101" s="7"/>
      <c r="G101" s="7"/>
      <c r="H101" s="7"/>
    </row>
    <row r="102" spans="1:8" x14ac:dyDescent="0.2">
      <c r="A102" s="9"/>
      <c r="B102" s="7"/>
      <c r="C102" s="7"/>
      <c r="D102" s="7"/>
      <c r="E102" s="7"/>
      <c r="F102" s="7"/>
      <c r="G102" s="7"/>
      <c r="H102" s="7"/>
    </row>
    <row r="103" spans="1:8" x14ac:dyDescent="0.2">
      <c r="A103" s="9"/>
      <c r="B103" s="7"/>
      <c r="C103" s="7"/>
      <c r="D103" s="7"/>
      <c r="E103" s="7"/>
      <c r="F103" s="7"/>
      <c r="G103" s="7"/>
      <c r="H103" s="7"/>
    </row>
    <row r="104" spans="1:8" x14ac:dyDescent="0.2">
      <c r="A104" s="9"/>
      <c r="B104" s="7"/>
      <c r="C104" s="7"/>
      <c r="D104" s="7"/>
      <c r="E104" s="7"/>
      <c r="F104" s="7"/>
      <c r="G104" s="7"/>
      <c r="H104" s="7"/>
    </row>
    <row r="105" spans="1:8" x14ac:dyDescent="0.2">
      <c r="A105" s="9"/>
      <c r="B105" s="7"/>
      <c r="C105" s="7"/>
      <c r="D105" s="7"/>
      <c r="E105" s="7"/>
      <c r="F105" s="7"/>
      <c r="G105" s="7"/>
      <c r="H105" s="7"/>
    </row>
    <row r="106" spans="1:8" x14ac:dyDescent="0.2">
      <c r="A106" s="9"/>
      <c r="B106" s="7"/>
      <c r="C106" s="7"/>
      <c r="D106" s="7"/>
      <c r="E106" s="7"/>
      <c r="F106" s="7"/>
      <c r="G106" s="7"/>
      <c r="H106" s="7"/>
    </row>
    <row r="107" spans="1:8" x14ac:dyDescent="0.2">
      <c r="A107" s="9"/>
      <c r="B107" s="7"/>
      <c r="C107" s="7"/>
      <c r="D107" s="7"/>
      <c r="E107" s="7"/>
      <c r="F107" s="7"/>
      <c r="G107" s="7"/>
      <c r="H107" s="7"/>
    </row>
    <row r="108" spans="1:8" x14ac:dyDescent="0.2">
      <c r="A108" s="9"/>
      <c r="B108" s="7"/>
      <c r="C108" s="7"/>
      <c r="D108" s="7"/>
      <c r="E108" s="7"/>
      <c r="F108" s="7"/>
      <c r="G108" s="7"/>
      <c r="H108" s="7"/>
    </row>
    <row r="109" spans="1:8" x14ac:dyDescent="0.2">
      <c r="A109" s="9"/>
      <c r="B109" s="7"/>
      <c r="C109" s="7"/>
      <c r="D109" s="7"/>
      <c r="E109" s="7"/>
      <c r="F109" s="7"/>
      <c r="G109" s="7"/>
      <c r="H109" s="7"/>
    </row>
    <row r="110" spans="1:8" x14ac:dyDescent="0.2">
      <c r="A110" s="9"/>
      <c r="B110" s="7"/>
      <c r="C110" s="7"/>
      <c r="D110" s="7"/>
      <c r="E110" s="7"/>
      <c r="F110" s="7"/>
      <c r="G110" s="7"/>
      <c r="H110" s="7"/>
    </row>
    <row r="111" spans="1:8" x14ac:dyDescent="0.2">
      <c r="A111" s="9"/>
      <c r="B111" s="7"/>
      <c r="C111" s="7"/>
      <c r="D111" s="7"/>
      <c r="E111" s="7"/>
      <c r="F111" s="7"/>
      <c r="G111" s="7"/>
      <c r="H111" s="7"/>
    </row>
    <row r="112" spans="1:8" x14ac:dyDescent="0.2">
      <c r="A112" s="9"/>
      <c r="B112" s="7"/>
      <c r="C112" s="7"/>
      <c r="D112" s="7"/>
      <c r="E112" s="7"/>
      <c r="F112" s="7"/>
      <c r="G112" s="7"/>
      <c r="H112" s="7"/>
    </row>
    <row r="113" spans="1:8" x14ac:dyDescent="0.2">
      <c r="A113" s="9"/>
      <c r="B113" s="7"/>
      <c r="C113" s="7"/>
      <c r="D113" s="7"/>
      <c r="E113" s="7"/>
      <c r="F113" s="7"/>
      <c r="G113" s="7"/>
      <c r="H113" s="7"/>
    </row>
    <row r="114" spans="1:8" x14ac:dyDescent="0.2">
      <c r="A114" s="9"/>
      <c r="B114" s="7"/>
      <c r="C114" s="7"/>
      <c r="D114" s="7"/>
      <c r="E114" s="7"/>
      <c r="F114" s="7"/>
      <c r="G114" s="7"/>
      <c r="H114" s="7"/>
    </row>
    <row r="115" spans="1:8" x14ac:dyDescent="0.2">
      <c r="A115" s="9"/>
      <c r="B115" s="7"/>
      <c r="C115" s="7"/>
      <c r="D115" s="7"/>
      <c r="E115" s="7"/>
      <c r="F115" s="7"/>
      <c r="G115" s="7"/>
      <c r="H115" s="7"/>
    </row>
    <row r="116" spans="1:8" x14ac:dyDescent="0.2">
      <c r="A116" s="9"/>
      <c r="B116" s="7"/>
      <c r="C116" s="7"/>
      <c r="D116" s="7"/>
      <c r="E116" s="7"/>
      <c r="F116" s="7"/>
      <c r="G116" s="7"/>
      <c r="H116" s="7"/>
    </row>
    <row r="117" spans="1:8" x14ac:dyDescent="0.2">
      <c r="A117" s="9"/>
      <c r="B117" s="7"/>
      <c r="C117" s="7"/>
      <c r="D117" s="7"/>
      <c r="E117" s="7"/>
      <c r="F117" s="7"/>
      <c r="G117" s="7"/>
      <c r="H117" s="7"/>
    </row>
    <row r="118" spans="1:8" x14ac:dyDescent="0.2">
      <c r="A118" s="9"/>
      <c r="B118" s="7"/>
      <c r="C118" s="7"/>
      <c r="D118" s="7"/>
      <c r="E118" s="7"/>
      <c r="F118" s="7"/>
      <c r="G118" s="7"/>
      <c r="H118" s="7"/>
    </row>
    <row r="119" spans="1:8" x14ac:dyDescent="0.2">
      <c r="A119" s="9"/>
      <c r="B119" s="7"/>
      <c r="C119" s="7"/>
      <c r="D119" s="7"/>
      <c r="E119" s="7"/>
      <c r="F119" s="7"/>
      <c r="G119" s="7"/>
      <c r="H119" s="7"/>
    </row>
    <row r="120" spans="1:8" x14ac:dyDescent="0.2">
      <c r="A120" s="9"/>
      <c r="B120" s="7"/>
      <c r="C120" s="7"/>
      <c r="D120" s="7"/>
      <c r="E120" s="7"/>
      <c r="F120" s="7"/>
      <c r="G120" s="7"/>
      <c r="H120" s="7"/>
    </row>
    <row r="121" spans="1:8" x14ac:dyDescent="0.2">
      <c r="A121" s="9"/>
      <c r="B121" s="7"/>
      <c r="C121" s="7"/>
      <c r="D121" s="7"/>
      <c r="E121" s="7"/>
      <c r="F121" s="7"/>
      <c r="G121" s="7"/>
      <c r="H121" s="7"/>
    </row>
    <row r="122" spans="1:8" x14ac:dyDescent="0.2">
      <c r="A122" s="9"/>
      <c r="B122" s="7"/>
      <c r="C122" s="7"/>
      <c r="D122" s="7"/>
      <c r="E122" s="7"/>
      <c r="F122" s="7"/>
      <c r="G122" s="7"/>
      <c r="H122" s="7"/>
    </row>
    <row r="123" spans="1:8" x14ac:dyDescent="0.2">
      <c r="A123" s="9"/>
      <c r="B123" s="7"/>
      <c r="C123" s="7"/>
      <c r="D123" s="7"/>
      <c r="E123" s="7"/>
      <c r="F123" s="7"/>
      <c r="G123" s="7"/>
      <c r="H123" s="7"/>
    </row>
    <row r="124" spans="1:8" x14ac:dyDescent="0.2">
      <c r="A124" s="9"/>
      <c r="B124" s="7"/>
      <c r="C124" s="7"/>
      <c r="D124" s="7"/>
      <c r="E124" s="7"/>
      <c r="F124" s="7"/>
      <c r="G124" s="7"/>
      <c r="H124" s="7"/>
    </row>
    <row r="125" spans="1:8" x14ac:dyDescent="0.2">
      <c r="A125" s="9"/>
      <c r="B125" s="7"/>
      <c r="C125" s="7"/>
      <c r="D125" s="7"/>
      <c r="E125" s="7"/>
      <c r="F125" s="7"/>
      <c r="G125" s="7"/>
      <c r="H125" s="7"/>
    </row>
    <row r="126" spans="1:8" x14ac:dyDescent="0.2">
      <c r="A126" s="9"/>
      <c r="B126" s="7"/>
      <c r="C126" s="7"/>
      <c r="D126" s="7"/>
      <c r="E126" s="7"/>
      <c r="F126" s="7"/>
      <c r="G126" s="7"/>
      <c r="H126" s="7"/>
    </row>
    <row r="127" spans="1:8" x14ac:dyDescent="0.2">
      <c r="A127" s="9"/>
      <c r="B127" s="7"/>
      <c r="C127" s="7"/>
      <c r="D127" s="7"/>
      <c r="E127" s="7"/>
      <c r="F127" s="7"/>
      <c r="G127" s="7"/>
      <c r="H127" s="7"/>
    </row>
    <row r="128" spans="1:8" x14ac:dyDescent="0.2">
      <c r="A128" s="9"/>
      <c r="B128" s="7"/>
      <c r="C128" s="7"/>
      <c r="D128" s="7"/>
      <c r="E128" s="7"/>
      <c r="F128" s="7"/>
      <c r="G128" s="7"/>
      <c r="H128" s="7"/>
    </row>
    <row r="129" spans="1:8" x14ac:dyDescent="0.2">
      <c r="A129" s="9"/>
      <c r="B129" s="7"/>
      <c r="C129" s="7"/>
      <c r="D129" s="7"/>
      <c r="E129" s="7"/>
      <c r="F129" s="7"/>
      <c r="G129" s="7"/>
      <c r="H129" s="7"/>
    </row>
    <row r="130" spans="1:8" x14ac:dyDescent="0.2">
      <c r="A130" s="9"/>
      <c r="B130" s="7"/>
      <c r="C130" s="7"/>
      <c r="D130" s="7"/>
      <c r="E130" s="7"/>
      <c r="F130" s="7"/>
      <c r="G130" s="7"/>
      <c r="H130" s="7"/>
    </row>
    <row r="131" spans="1:8" x14ac:dyDescent="0.2">
      <c r="A131" s="9"/>
      <c r="B131" s="7"/>
      <c r="C131" s="7"/>
      <c r="D131" s="7"/>
      <c r="E131" s="7"/>
      <c r="F131" s="7"/>
      <c r="G131" s="7"/>
      <c r="H131" s="7"/>
    </row>
    <row r="132" spans="1:8" x14ac:dyDescent="0.2">
      <c r="A132" s="9"/>
      <c r="B132" s="7"/>
      <c r="C132" s="7"/>
      <c r="D132" s="7"/>
      <c r="E132" s="7"/>
      <c r="F132" s="7"/>
      <c r="G132" s="7"/>
      <c r="H132" s="7"/>
    </row>
    <row r="133" spans="1:8" x14ac:dyDescent="0.2">
      <c r="A133" s="9"/>
      <c r="B133" s="7"/>
      <c r="C133" s="7"/>
      <c r="D133" s="7"/>
      <c r="E133" s="7"/>
      <c r="F133" s="7"/>
      <c r="G133" s="7"/>
      <c r="H133" s="7"/>
    </row>
    <row r="134" spans="1:8" x14ac:dyDescent="0.2">
      <c r="A134" s="9"/>
      <c r="B134" s="7"/>
      <c r="C134" s="7"/>
      <c r="D134" s="7"/>
      <c r="E134" s="7"/>
      <c r="F134" s="7"/>
      <c r="G134" s="7"/>
      <c r="H134" s="7"/>
    </row>
    <row r="135" spans="1:8" x14ac:dyDescent="0.2">
      <c r="A135" s="9"/>
      <c r="B135" s="7"/>
      <c r="C135" s="7"/>
      <c r="D135" s="7"/>
      <c r="E135" s="7"/>
      <c r="F135" s="7"/>
      <c r="G135" s="7"/>
      <c r="H135" s="7"/>
    </row>
    <row r="136" spans="1:8" x14ac:dyDescent="0.2">
      <c r="A136" s="9"/>
      <c r="B136" s="7"/>
      <c r="C136" s="7"/>
      <c r="D136" s="7"/>
      <c r="E136" s="7"/>
      <c r="F136" s="7"/>
      <c r="G136" s="7"/>
      <c r="H136" s="7"/>
    </row>
    <row r="137" spans="1:8" x14ac:dyDescent="0.2">
      <c r="A137" s="9"/>
      <c r="B137" s="7"/>
      <c r="C137" s="7"/>
      <c r="D137" s="7"/>
      <c r="E137" s="7"/>
      <c r="F137" s="7"/>
      <c r="G137" s="7"/>
      <c r="H137" s="7"/>
    </row>
    <row r="138" spans="1:8" x14ac:dyDescent="0.2">
      <c r="A138" s="9"/>
      <c r="B138" s="7"/>
      <c r="C138" s="7"/>
      <c r="D138" s="7"/>
      <c r="E138" s="7"/>
      <c r="F138" s="7"/>
      <c r="G138" s="7"/>
      <c r="H138" s="7"/>
    </row>
    <row r="139" spans="1:8" x14ac:dyDescent="0.2">
      <c r="A139" s="9"/>
      <c r="B139" s="7"/>
      <c r="C139" s="7"/>
      <c r="D139" s="7"/>
      <c r="E139" s="7"/>
      <c r="F139" s="7"/>
      <c r="G139" s="7"/>
      <c r="H139" s="7"/>
    </row>
    <row r="140" spans="1:8" x14ac:dyDescent="0.2">
      <c r="A140" s="9"/>
      <c r="B140" s="7"/>
      <c r="C140" s="7"/>
      <c r="D140" s="7"/>
      <c r="E140" s="7"/>
      <c r="F140" s="7"/>
      <c r="G140" s="7"/>
      <c r="H140" s="7"/>
    </row>
    <row r="141" spans="1:8" x14ac:dyDescent="0.2">
      <c r="A141" s="9"/>
      <c r="B141" s="7"/>
      <c r="C141" s="7"/>
      <c r="D141" s="7"/>
      <c r="E141" s="7"/>
      <c r="F141" s="7"/>
      <c r="G141" s="7"/>
      <c r="H141" s="7"/>
    </row>
    <row r="142" spans="1:8" x14ac:dyDescent="0.2">
      <c r="A142" s="9"/>
      <c r="B142" s="7"/>
      <c r="C142" s="7"/>
      <c r="D142" s="7"/>
      <c r="E142" s="7"/>
      <c r="F142" s="7"/>
      <c r="G142" s="7"/>
      <c r="H142" s="7"/>
    </row>
    <row r="143" spans="1:8" x14ac:dyDescent="0.2">
      <c r="A143" s="9"/>
      <c r="B143" s="7"/>
      <c r="C143" s="7"/>
      <c r="D143" s="7"/>
      <c r="E143" s="7"/>
      <c r="F143" s="7"/>
      <c r="G143" s="7"/>
      <c r="H143" s="7"/>
    </row>
    <row r="144" spans="1:8" x14ac:dyDescent="0.2">
      <c r="A144" s="9"/>
      <c r="B144" s="7"/>
      <c r="C144" s="7"/>
      <c r="D144" s="7"/>
      <c r="E144" s="7"/>
      <c r="F144" s="7"/>
      <c r="G144" s="7"/>
      <c r="H144" s="7"/>
    </row>
    <row r="145" spans="1:8" x14ac:dyDescent="0.2">
      <c r="A145" s="9"/>
      <c r="B145" s="7"/>
      <c r="C145" s="7"/>
      <c r="D145" s="7"/>
      <c r="E145" s="7"/>
      <c r="F145" s="7"/>
      <c r="G145" s="7"/>
      <c r="H145" s="7"/>
    </row>
    <row r="146" spans="1:8" x14ac:dyDescent="0.2">
      <c r="A146" s="9"/>
      <c r="B146" s="7"/>
      <c r="C146" s="7"/>
      <c r="D146" s="7"/>
      <c r="E146" s="7"/>
      <c r="F146" s="7"/>
      <c r="G146" s="7"/>
      <c r="H146" s="7"/>
    </row>
    <row r="147" spans="1:8" x14ac:dyDescent="0.2">
      <c r="A147" s="9"/>
      <c r="B147" s="7"/>
      <c r="C147" s="7"/>
      <c r="D147" s="7"/>
      <c r="E147" s="7"/>
      <c r="F147" s="7"/>
      <c r="G147" s="7"/>
      <c r="H147" s="7"/>
    </row>
    <row r="148" spans="1:8" x14ac:dyDescent="0.2">
      <c r="A148" s="9"/>
      <c r="B148" s="7"/>
      <c r="C148" s="7"/>
      <c r="D148" s="7"/>
      <c r="E148" s="7"/>
      <c r="F148" s="7"/>
      <c r="G148" s="7"/>
      <c r="H148" s="7"/>
    </row>
    <row r="149" spans="1:8" x14ac:dyDescent="0.2">
      <c r="A149" s="9"/>
      <c r="B149" s="7"/>
      <c r="C149" s="7"/>
      <c r="D149" s="7"/>
      <c r="E149" s="7"/>
      <c r="F149" s="7"/>
      <c r="G149" s="7"/>
      <c r="H149" s="7"/>
    </row>
    <row r="150" spans="1:8" x14ac:dyDescent="0.2">
      <c r="A150" s="9"/>
      <c r="B150" s="7"/>
      <c r="C150" s="7"/>
      <c r="D150" s="7"/>
      <c r="E150" s="7"/>
      <c r="F150" s="7"/>
      <c r="G150" s="7"/>
      <c r="H150" s="7"/>
    </row>
    <row r="151" spans="1:8" x14ac:dyDescent="0.2">
      <c r="A151" s="9"/>
      <c r="B151" s="7"/>
      <c r="C151" s="7"/>
      <c r="D151" s="7"/>
      <c r="E151" s="7"/>
      <c r="F151" s="7"/>
      <c r="G151" s="7"/>
      <c r="H151" s="7"/>
    </row>
    <row r="152" spans="1:8" x14ac:dyDescent="0.2">
      <c r="A152" s="9"/>
      <c r="B152" s="7"/>
      <c r="C152" s="7"/>
      <c r="D152" s="7"/>
      <c r="E152" s="7"/>
      <c r="F152" s="7"/>
      <c r="G152" s="7"/>
      <c r="H152" s="7"/>
    </row>
  </sheetData>
  <customSheetViews>
    <customSheetView guid="{413CAF1F-62E2-41F5-A4C6-2C341582DC5D}" scale="80" topLeftCell="A7">
      <selection activeCell="F11" sqref="F11"/>
      <pageMargins left="0" right="0" top="0" bottom="0" header="0" footer="0"/>
      <printOptions gridLines="1"/>
      <pageSetup paperSize="9" scale="70" orientation="landscape" r:id="rId1"/>
      <headerFooter>
        <oddHeader xml:space="preserve">&amp;C
2019. ...04...hó..8-12.......-ig     </oddHeader>
      </headerFooter>
    </customSheetView>
    <customSheetView guid="{46540580-8292-4E21-84A5-B58390F70AE7}" scale="80">
      <selection activeCell="K35" sqref="K35"/>
      <pageMargins left="0" right="0" top="0" bottom="0" header="0" footer="0"/>
      <printOptions gridLines="1"/>
      <pageSetup paperSize="9" scale="70" orientation="landscape" r:id="rId2"/>
      <headerFooter>
        <oddHeader xml:space="preserve">&amp;C
2019. ...04...hó..8-12.......-ig     </oddHeader>
      </headerFooter>
    </customSheetView>
    <customSheetView guid="{07BAD8F1-49B6-40C7-A1B5-B8EF23A4A904}" scale="80" topLeftCell="A7">
      <selection activeCell="F11" sqref="F11"/>
      <pageMargins left="0" right="0" top="0" bottom="0" header="0" footer="0"/>
      <printOptions gridLines="1"/>
      <pageSetup paperSize="9" scale="70" orientation="landscape" r:id="rId3"/>
      <headerFooter>
        <oddHeader xml:space="preserve">&amp;C
2019. ...04...hó..8-12.......-ig     </oddHeader>
      </headerFooter>
    </customSheetView>
    <customSheetView guid="{4B58F0A9-071E-4376-B7AD-463366669E19}" scale="80" topLeftCell="A7">
      <selection activeCell="F11" sqref="F11"/>
      <pageMargins left="0" right="0" top="0" bottom="0" header="0" footer="0"/>
      <printOptions gridLines="1"/>
      <pageSetup paperSize="9" scale="70" orientation="landscape" r:id="rId4"/>
      <headerFooter>
        <oddHeader xml:space="preserve">&amp;C
2019. ...04...hó..8-12.......-ig     </oddHeader>
      </headerFooter>
    </customSheetView>
    <customSheetView guid="{63A8D7FC-210D-4D74-8AB0-DBA9D993D16B}" scale="80" topLeftCell="A7">
      <selection activeCell="F11" sqref="F11"/>
      <pageMargins left="0" right="0" top="0" bottom="0" header="0" footer="0"/>
      <printOptions gridLines="1"/>
      <pageSetup paperSize="9" scale="70" orientation="landscape" r:id="rId5"/>
      <headerFooter>
        <oddHeader xml:space="preserve">&amp;C
2019. ...04...hó..8-12.......-ig     </oddHeader>
      </headerFooter>
    </customSheetView>
    <customSheetView guid="{70878244-3585-447C-8730-0EB8549AE1A6}" scale="80">
      <selection activeCell="N36" sqref="N36"/>
      <pageMargins left="0" right="0" top="0" bottom="0" header="0" footer="0"/>
      <printOptions gridLines="1"/>
      <pageSetup paperSize="9" scale="70" orientation="landscape" r:id="rId6"/>
      <headerFooter>
        <oddHeader xml:space="preserve">&amp;C
2019. ...04...hó..8-12.......-ig     </oddHeader>
      </headerFooter>
    </customSheetView>
    <customSheetView guid="{D4470CD2-528C-41AD-9E69-DB221017C7C0}" scale="80">
      <selection activeCell="E33" sqref="E33"/>
      <pageMargins left="0" right="0" top="0" bottom="0" header="0" footer="0"/>
      <printOptions gridLines="1"/>
      <pageSetup paperSize="9" scale="70" orientation="landscape" r:id="rId7"/>
      <headerFooter>
        <oddHeader xml:space="preserve">&amp;C
2019. ...04...hó..8-12.......-ig     </oddHeader>
      </headerFooter>
    </customSheetView>
    <customSheetView guid="{CD08FFCB-5C1E-4FBC-90EE-0F61C4C5D8EE}" scale="80">
      <selection activeCell="D49" sqref="D49"/>
      <pageMargins left="0" right="0" top="0" bottom="0" header="0" footer="0"/>
      <printOptions gridLines="1"/>
      <pageSetup paperSize="9" scale="70" orientation="landscape" r:id="rId8"/>
      <headerFooter>
        <oddHeader xml:space="preserve">&amp;C
2019. ...04...hó..8-12.......-ig     </oddHeader>
      </headerFooter>
    </customSheetView>
    <customSheetView guid="{A47E18E7-D250-4913-909E-65F626A4EC80}" scale="80" showPageBreaks="1" topLeftCell="A7">
      <selection activeCell="F11" sqref="F11"/>
      <pageMargins left="0" right="0" top="0" bottom="0" header="0" footer="0"/>
      <printOptions gridLines="1"/>
      <pageSetup paperSize="9" scale="70" orientation="landscape" r:id="rId9"/>
      <headerFooter>
        <oddHeader xml:space="preserve">&amp;C
2019. ...04...hó..8-12.......-ig     </oddHeader>
      </headerFooter>
    </customSheetView>
    <customSheetView guid="{4C7C4345-D832-4452-B223-3E4A3FAA8500}" scale="80">
      <selection activeCell="N36" sqref="N36"/>
      <pageMargins left="0" right="0" top="0" bottom="0" header="0" footer="0"/>
      <printOptions gridLines="1"/>
      <pageSetup paperSize="9" scale="70" orientation="landscape" r:id="rId10"/>
      <headerFooter>
        <oddHeader xml:space="preserve">&amp;C
2019. ...04...hó..8-12.......-ig     </oddHeader>
      </headerFooter>
    </customSheetView>
    <customSheetView guid="{F9BF4A8F-31C2-451D-B694-7420019F0BAD}" scale="80">
      <selection activeCell="C33" sqref="C33"/>
      <pageMargins left="0" right="0" top="0" bottom="0" header="0" footer="0"/>
      <printOptions gridLines="1"/>
      <pageSetup paperSize="9" scale="70" orientation="landscape" r:id="rId11"/>
      <headerFooter>
        <oddHeader xml:space="preserve">&amp;C
2019. ...04...hó..8-12.......-ig     </oddHeader>
      </headerFooter>
    </customSheetView>
    <customSheetView guid="{0D091791-6928-48DD-B75F-0677FDB23A54}" scale="80" topLeftCell="A7">
      <selection activeCell="F11" sqref="F11"/>
      <pageMargins left="0" right="0" top="0" bottom="0" header="0" footer="0"/>
      <printOptions gridLines="1"/>
      <pageSetup paperSize="9" scale="70" orientation="landscape" r:id="rId12"/>
      <headerFooter>
        <oddHeader xml:space="preserve">&amp;C
2019. ...04...hó..8-12.......-ig     </oddHeader>
      </headerFooter>
    </customSheetView>
  </customSheetViews>
  <printOptions gridLines="1"/>
  <pageMargins left="0.70866141732283472" right="0.70866141732283472" top="0.74803149606299213" bottom="0.74803149606299213" header="0.31496062992125984" footer="0.31496062992125984"/>
  <pageSetup paperSize="9" scale="70" orientation="landscape" r:id="rId13"/>
  <headerFooter>
    <oddHeader xml:space="preserve">&amp;C
2019. ...04...hó..8-12.......-ig     </oddHeader>
  </headerFooter>
  <legacy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Munka3">
    <pageSetUpPr fitToPage="1"/>
  </sheetPr>
  <dimension ref="A1:K160"/>
  <sheetViews>
    <sheetView zoomScale="80" zoomScaleNormal="80" zoomScaleSheetLayoutView="40" workbookViewId="0">
      <pane ySplit="1" topLeftCell="A2" activePane="bottomLeft" state="frozen"/>
      <selection pane="bottomLeft" activeCell="B14" sqref="B14"/>
    </sheetView>
  </sheetViews>
  <sheetFormatPr defaultRowHeight="12.75" x14ac:dyDescent="0.2"/>
  <cols>
    <col min="1" max="1" width="12.28515625" style="1" customWidth="1"/>
    <col min="2" max="8" width="29.28515625" customWidth="1"/>
    <col min="9" max="9" width="30.7109375" customWidth="1"/>
  </cols>
  <sheetData>
    <row r="1" spans="1:9" ht="32.25" customHeight="1" thickBot="1" x14ac:dyDescent="0.25">
      <c r="A1" s="2"/>
      <c r="B1" s="4" t="s">
        <v>155</v>
      </c>
      <c r="C1" s="4" t="s">
        <v>156</v>
      </c>
      <c r="D1" s="4" t="s">
        <v>157</v>
      </c>
      <c r="E1" s="4" t="s">
        <v>158</v>
      </c>
      <c r="F1" s="4" t="s">
        <v>159</v>
      </c>
      <c r="G1" s="4" t="s">
        <v>160</v>
      </c>
      <c r="H1" s="4" t="s">
        <v>161</v>
      </c>
      <c r="I1" s="4"/>
    </row>
    <row r="2" spans="1:9" ht="15" customHeight="1" x14ac:dyDescent="0.2">
      <c r="A2" s="3"/>
      <c r="B2" s="13" t="s">
        <v>162</v>
      </c>
      <c r="C2" s="12" t="s">
        <v>109</v>
      </c>
      <c r="D2" s="18" t="s">
        <v>163</v>
      </c>
      <c r="E2" s="12" t="s">
        <v>164</v>
      </c>
      <c r="F2" s="22"/>
      <c r="G2" s="8"/>
      <c r="H2" s="22"/>
      <c r="I2" s="5"/>
    </row>
    <row r="3" spans="1:9" ht="15" customHeight="1" x14ac:dyDescent="0.2">
      <c r="A3" s="3"/>
      <c r="B3" s="17"/>
      <c r="C3" s="43" t="s">
        <v>165</v>
      </c>
      <c r="D3" s="17" t="s">
        <v>166</v>
      </c>
      <c r="E3" s="17" t="s">
        <v>167</v>
      </c>
      <c r="F3" s="23"/>
      <c r="G3" s="6"/>
      <c r="H3" s="23"/>
      <c r="I3" s="5"/>
    </row>
    <row r="4" spans="1:9" ht="15" customHeight="1" x14ac:dyDescent="0.2">
      <c r="A4" s="3"/>
      <c r="B4" s="13"/>
      <c r="C4" s="43" t="s">
        <v>9</v>
      </c>
      <c r="D4" s="17" t="s">
        <v>168</v>
      </c>
      <c r="E4" s="17" t="s">
        <v>169</v>
      </c>
      <c r="F4" s="23"/>
      <c r="G4" s="6"/>
      <c r="H4" s="23"/>
      <c r="I4" s="5"/>
    </row>
    <row r="5" spans="1:9" ht="15" customHeight="1" x14ac:dyDescent="0.2">
      <c r="A5" s="3" t="s">
        <v>18</v>
      </c>
      <c r="B5" s="6"/>
      <c r="C5" s="43" t="s">
        <v>170</v>
      </c>
      <c r="D5" s="17"/>
      <c r="E5" s="6"/>
      <c r="F5" s="23"/>
      <c r="G5" s="6"/>
      <c r="H5" s="23"/>
    </row>
    <row r="6" spans="1:9" ht="15" customHeight="1" x14ac:dyDescent="0.2">
      <c r="A6" s="39" t="s">
        <v>19</v>
      </c>
      <c r="B6" s="6"/>
      <c r="C6" s="6"/>
      <c r="D6" s="6"/>
      <c r="E6" s="6"/>
      <c r="F6" s="23"/>
      <c r="G6" s="6"/>
      <c r="H6" s="23"/>
    </row>
    <row r="7" spans="1:9" ht="15" customHeight="1" x14ac:dyDescent="0.2">
      <c r="B7" s="25"/>
      <c r="C7" s="25"/>
      <c r="D7" s="25"/>
      <c r="E7" s="25"/>
      <c r="F7" s="28"/>
      <c r="G7" s="25"/>
      <c r="H7" s="28"/>
    </row>
    <row r="8" spans="1:9" ht="15" customHeight="1" thickBot="1" x14ac:dyDescent="0.25">
      <c r="A8" s="14" t="s">
        <v>20</v>
      </c>
      <c r="B8" s="15" t="s">
        <v>101</v>
      </c>
      <c r="C8" s="15" t="s">
        <v>101</v>
      </c>
      <c r="D8" s="15" t="s">
        <v>101</v>
      </c>
      <c r="E8" s="15" t="s">
        <v>101</v>
      </c>
      <c r="F8" s="24"/>
      <c r="G8" s="16"/>
      <c r="H8" s="24"/>
    </row>
    <row r="9" spans="1:9" ht="15" customHeight="1" thickTop="1" x14ac:dyDescent="0.2">
      <c r="B9" s="17" t="s">
        <v>171</v>
      </c>
      <c r="C9" s="6" t="s">
        <v>172</v>
      </c>
      <c r="D9" s="123" t="s">
        <v>173</v>
      </c>
      <c r="E9" s="126" t="s">
        <v>174</v>
      </c>
      <c r="F9" s="23"/>
      <c r="G9" s="6"/>
      <c r="H9" s="23"/>
    </row>
    <row r="10" spans="1:9" ht="15" customHeight="1" x14ac:dyDescent="0.2">
      <c r="B10" s="17" t="s">
        <v>175</v>
      </c>
      <c r="C10" s="6"/>
      <c r="D10" s="123" t="s">
        <v>176</v>
      </c>
      <c r="E10" s="199" t="s">
        <v>177</v>
      </c>
      <c r="F10" s="23"/>
      <c r="G10" s="6"/>
      <c r="H10" s="23"/>
    </row>
    <row r="11" spans="1:9" ht="15" customHeight="1" x14ac:dyDescent="0.2">
      <c r="A11" s="2" t="s">
        <v>18</v>
      </c>
      <c r="B11" s="17" t="s">
        <v>178</v>
      </c>
      <c r="C11" s="6"/>
      <c r="D11" s="124" t="s">
        <v>16</v>
      </c>
      <c r="E11" s="123" t="s">
        <v>179</v>
      </c>
      <c r="F11" s="23"/>
      <c r="G11" s="6"/>
      <c r="H11" s="23"/>
    </row>
    <row r="12" spans="1:9" ht="15" customHeight="1" x14ac:dyDescent="0.2">
      <c r="A12" s="2" t="s">
        <v>30</v>
      </c>
      <c r="B12" s="17" t="s">
        <v>180</v>
      </c>
      <c r="C12" s="6"/>
      <c r="D12" s="124"/>
      <c r="E12" s="126" t="s">
        <v>86</v>
      </c>
      <c r="F12" s="23"/>
      <c r="G12" s="6"/>
      <c r="H12" s="23"/>
    </row>
    <row r="13" spans="1:9" ht="15" customHeight="1" x14ac:dyDescent="0.2">
      <c r="B13" s="6"/>
      <c r="C13" s="6"/>
      <c r="D13" s="124"/>
      <c r="E13" s="124"/>
      <c r="F13" s="23"/>
      <c r="G13" s="6"/>
      <c r="H13" s="23"/>
    </row>
    <row r="14" spans="1:9" ht="15" customHeight="1" x14ac:dyDescent="0.2">
      <c r="B14" s="25"/>
      <c r="C14" s="25"/>
      <c r="D14" s="125"/>
      <c r="E14" s="125"/>
      <c r="F14" s="28"/>
      <c r="G14" s="25"/>
      <c r="H14" s="28"/>
    </row>
    <row r="15" spans="1:9" ht="15" customHeight="1" thickBot="1" x14ac:dyDescent="0.25">
      <c r="A15" s="14" t="s">
        <v>20</v>
      </c>
      <c r="B15" s="15" t="s">
        <v>181</v>
      </c>
      <c r="C15" s="15" t="s">
        <v>182</v>
      </c>
      <c r="D15" s="126" t="s">
        <v>154</v>
      </c>
      <c r="E15" s="194" t="s">
        <v>183</v>
      </c>
      <c r="F15" s="24"/>
      <c r="G15" s="16"/>
      <c r="H15" s="24"/>
    </row>
    <row r="16" spans="1:9" ht="15" customHeight="1" thickTop="1" x14ac:dyDescent="0.2">
      <c r="B16" s="13" t="s">
        <v>184</v>
      </c>
      <c r="C16" s="43" t="s">
        <v>185</v>
      </c>
      <c r="D16" s="18" t="s">
        <v>186</v>
      </c>
      <c r="E16" s="53" t="s">
        <v>187</v>
      </c>
      <c r="F16" s="23"/>
      <c r="G16" s="6"/>
      <c r="H16" s="23"/>
    </row>
    <row r="17" spans="1:10" ht="15" customHeight="1" x14ac:dyDescent="0.2">
      <c r="B17" s="17" t="s">
        <v>188</v>
      </c>
      <c r="C17" s="43" t="s">
        <v>189</v>
      </c>
      <c r="D17" s="17" t="s">
        <v>190</v>
      </c>
      <c r="E17" s="33" t="s">
        <v>191</v>
      </c>
      <c r="F17" s="23"/>
      <c r="G17" s="6"/>
      <c r="H17" s="23"/>
    </row>
    <row r="18" spans="1:10" ht="15" customHeight="1" x14ac:dyDescent="0.2">
      <c r="A18" s="2" t="s">
        <v>41</v>
      </c>
      <c r="B18" s="13" t="s">
        <v>104</v>
      </c>
      <c r="C18" s="43" t="s">
        <v>192</v>
      </c>
      <c r="D18" s="17" t="s">
        <v>193</v>
      </c>
      <c r="E18" s="17" t="s">
        <v>194</v>
      </c>
      <c r="F18" s="23"/>
      <c r="G18" s="6"/>
      <c r="H18" s="23"/>
    </row>
    <row r="19" spans="1:10" ht="15" customHeight="1" x14ac:dyDescent="0.2">
      <c r="A19" s="2" t="s">
        <v>43</v>
      </c>
      <c r="B19" s="6"/>
      <c r="C19" s="43" t="s">
        <v>195</v>
      </c>
      <c r="D19" s="6" t="s">
        <v>16</v>
      </c>
      <c r="E19" s="45"/>
      <c r="F19" s="23"/>
      <c r="G19" s="6"/>
      <c r="H19" s="23"/>
    </row>
    <row r="20" spans="1:10" ht="15" customHeight="1" x14ac:dyDescent="0.2">
      <c r="A20" s="2"/>
      <c r="B20" s="6"/>
      <c r="C20" s="43" t="s">
        <v>196</v>
      </c>
      <c r="D20" s="6"/>
      <c r="E20" s="45"/>
      <c r="F20" s="23"/>
      <c r="G20" s="6"/>
      <c r="H20" s="23"/>
    </row>
    <row r="21" spans="1:10" ht="15" customHeight="1" x14ac:dyDescent="0.2">
      <c r="A21" s="2"/>
      <c r="B21" s="6"/>
      <c r="C21" s="48" t="s">
        <v>197</v>
      </c>
      <c r="D21" s="6"/>
      <c r="E21" s="45"/>
      <c r="F21" s="23"/>
      <c r="G21" s="6"/>
      <c r="H21" s="23"/>
    </row>
    <row r="22" spans="1:10" x14ac:dyDescent="0.2">
      <c r="B22" s="25"/>
      <c r="C22" s="51"/>
      <c r="D22" s="25"/>
      <c r="E22" s="46"/>
      <c r="F22" s="28"/>
      <c r="G22" s="25"/>
      <c r="H22" s="28"/>
    </row>
    <row r="23" spans="1:10" ht="13.5" thickBot="1" x14ac:dyDescent="0.25">
      <c r="A23" s="14" t="s">
        <v>20</v>
      </c>
      <c r="B23" s="15" t="s">
        <v>138</v>
      </c>
      <c r="C23" s="52" t="s">
        <v>138</v>
      </c>
      <c r="D23" s="41" t="s">
        <v>138</v>
      </c>
      <c r="E23" s="49" t="s">
        <v>138</v>
      </c>
      <c r="F23" s="24"/>
      <c r="G23" s="16"/>
      <c r="H23" s="24"/>
    </row>
    <row r="24" spans="1:10" ht="13.5" thickTop="1" x14ac:dyDescent="0.2">
      <c r="B24" s="6"/>
      <c r="C24" s="124"/>
      <c r="D24" s="124"/>
      <c r="E24" s="124"/>
      <c r="F24" s="23"/>
      <c r="G24" s="6"/>
      <c r="H24" s="23"/>
    </row>
    <row r="25" spans="1:10" x14ac:dyDescent="0.2">
      <c r="B25" s="17" t="s">
        <v>196</v>
      </c>
      <c r="C25" s="123" t="s">
        <v>48</v>
      </c>
      <c r="D25" s="123" t="s">
        <v>48</v>
      </c>
      <c r="E25" s="123" t="s">
        <v>48</v>
      </c>
      <c r="F25" s="23"/>
      <c r="G25" s="6"/>
      <c r="H25" s="23"/>
    </row>
    <row r="26" spans="1:10" x14ac:dyDescent="0.2">
      <c r="A26" s="2" t="s">
        <v>41</v>
      </c>
      <c r="B26" s="17" t="s">
        <v>197</v>
      </c>
      <c r="C26" s="124"/>
      <c r="D26" s="124"/>
      <c r="E26" s="124"/>
      <c r="F26" s="23"/>
      <c r="G26" s="6"/>
      <c r="H26" s="23"/>
    </row>
    <row r="27" spans="1:10" x14ac:dyDescent="0.2">
      <c r="A27" s="2" t="s">
        <v>50</v>
      </c>
      <c r="B27" s="17" t="s">
        <v>198</v>
      </c>
      <c r="C27" s="124"/>
      <c r="D27" s="124"/>
      <c r="E27" s="124"/>
      <c r="F27" s="23"/>
      <c r="G27" s="6"/>
      <c r="H27" s="23"/>
    </row>
    <row r="28" spans="1:10" x14ac:dyDescent="0.2">
      <c r="B28" s="6"/>
      <c r="C28" s="124"/>
      <c r="D28" s="124"/>
      <c r="E28" s="124"/>
      <c r="F28" s="23"/>
      <c r="G28" s="6"/>
      <c r="H28" s="23"/>
    </row>
    <row r="29" spans="1:10" x14ac:dyDescent="0.2">
      <c r="A29" s="9"/>
      <c r="B29" s="25"/>
      <c r="C29" s="125"/>
      <c r="D29" s="125"/>
      <c r="E29" s="125"/>
      <c r="F29" s="28"/>
      <c r="G29" s="25"/>
      <c r="H29" s="28"/>
    </row>
    <row r="30" spans="1:10" ht="13.5" thickBot="1" x14ac:dyDescent="0.25">
      <c r="A30" s="14" t="s">
        <v>20</v>
      </c>
      <c r="B30" s="6" t="s">
        <v>52</v>
      </c>
      <c r="C30" s="194" t="s">
        <v>52</v>
      </c>
      <c r="D30" s="194" t="s">
        <v>52</v>
      </c>
      <c r="E30" s="194" t="s">
        <v>52</v>
      </c>
      <c r="F30" s="24"/>
      <c r="G30" s="16"/>
      <c r="H30" s="24"/>
      <c r="I30" s="43"/>
      <c r="J30" s="7"/>
    </row>
    <row r="31" spans="1:10" ht="13.5" thickTop="1" x14ac:dyDescent="0.2">
      <c r="A31" s="9"/>
      <c r="B31" s="200" t="s">
        <v>199</v>
      </c>
      <c r="C31" s="7"/>
      <c r="D31" s="18" t="s">
        <v>200</v>
      </c>
      <c r="E31" s="53"/>
      <c r="F31" s="23"/>
      <c r="G31" s="6"/>
      <c r="H31" s="23"/>
      <c r="J31" s="7"/>
    </row>
    <row r="32" spans="1:10" x14ac:dyDescent="0.2">
      <c r="A32" s="26" t="s">
        <v>59</v>
      </c>
      <c r="B32" s="123" t="s">
        <v>201</v>
      </c>
      <c r="C32" s="7"/>
      <c r="D32" s="17" t="s">
        <v>194</v>
      </c>
      <c r="E32" s="33"/>
      <c r="F32" s="23"/>
      <c r="G32" s="6"/>
      <c r="H32" s="23"/>
    </row>
    <row r="33" spans="1:11" x14ac:dyDescent="0.2">
      <c r="A33" s="26" t="s">
        <v>60</v>
      </c>
      <c r="B33" s="123" t="s">
        <v>202</v>
      </c>
      <c r="C33" s="7"/>
      <c r="D33" s="13" t="s">
        <v>203</v>
      </c>
      <c r="E33" s="45"/>
      <c r="F33" s="23"/>
      <c r="G33" s="6"/>
      <c r="H33" s="23"/>
      <c r="K33" s="7"/>
    </row>
    <row r="34" spans="1:11" x14ac:dyDescent="0.2">
      <c r="A34" s="26"/>
      <c r="B34" s="123"/>
      <c r="C34" s="7"/>
      <c r="D34" s="13" t="s">
        <v>204</v>
      </c>
      <c r="E34" s="45"/>
      <c r="F34" s="23"/>
      <c r="G34" s="6"/>
      <c r="H34" s="23"/>
    </row>
    <row r="35" spans="1:11" x14ac:dyDescent="0.2">
      <c r="A35" s="26"/>
      <c r="B35" s="123"/>
      <c r="C35" s="7"/>
      <c r="D35" s="17" t="s">
        <v>205</v>
      </c>
      <c r="E35" s="45"/>
      <c r="F35" s="23"/>
      <c r="G35" s="6"/>
      <c r="H35" s="23"/>
    </row>
    <row r="36" spans="1:11" ht="13.5" thickBot="1" x14ac:dyDescent="0.25">
      <c r="A36" s="26"/>
      <c r="B36" s="123"/>
      <c r="C36" s="62"/>
      <c r="D36" s="63"/>
      <c r="E36" s="55"/>
      <c r="F36" s="30"/>
      <c r="G36" s="29"/>
      <c r="H36" s="30"/>
    </row>
    <row r="37" spans="1:11" ht="13.5" thickBot="1" x14ac:dyDescent="0.25">
      <c r="A37" s="54" t="s">
        <v>20</v>
      </c>
      <c r="B37" s="201" t="s">
        <v>151</v>
      </c>
      <c r="C37" s="49"/>
      <c r="D37" s="13" t="s">
        <v>206</v>
      </c>
      <c r="E37" s="15"/>
      <c r="F37" s="24"/>
      <c r="G37" s="16"/>
      <c r="H37" s="24"/>
    </row>
    <row r="38" spans="1:11" ht="13.5" thickTop="1" x14ac:dyDescent="0.2">
      <c r="A38" s="10"/>
      <c r="B38" s="38" t="s">
        <v>207</v>
      </c>
      <c r="C38" s="6" t="s">
        <v>208</v>
      </c>
      <c r="D38" s="8"/>
      <c r="E38" s="6" t="s">
        <v>209</v>
      </c>
      <c r="F38" s="23"/>
      <c r="G38" s="6"/>
      <c r="H38" s="23"/>
    </row>
    <row r="39" spans="1:11" x14ac:dyDescent="0.2">
      <c r="A39" s="26" t="s">
        <v>66</v>
      </c>
      <c r="B39" s="6"/>
      <c r="C39" s="6"/>
      <c r="D39" s="6"/>
      <c r="E39" s="6"/>
      <c r="F39" s="23"/>
      <c r="G39" s="6"/>
      <c r="H39" s="23"/>
    </row>
    <row r="40" spans="1:11" x14ac:dyDescent="0.2">
      <c r="A40" s="26" t="s">
        <v>67</v>
      </c>
      <c r="B40" s="6"/>
      <c r="C40" s="6"/>
      <c r="D40" s="6"/>
      <c r="E40" s="6"/>
      <c r="F40" s="23"/>
      <c r="G40" s="6"/>
      <c r="H40" s="23"/>
    </row>
    <row r="41" spans="1:11" x14ac:dyDescent="0.2">
      <c r="A41" s="26"/>
      <c r="B41" s="25"/>
      <c r="C41" s="25"/>
      <c r="D41" s="25"/>
      <c r="E41" s="25"/>
      <c r="F41" s="28"/>
      <c r="G41" s="25"/>
      <c r="H41" s="28"/>
    </row>
    <row r="42" spans="1:11" ht="13.5" thickBot="1" x14ac:dyDescent="0.25">
      <c r="A42" s="14" t="s">
        <v>20</v>
      </c>
      <c r="B42" s="16" t="s">
        <v>210</v>
      </c>
      <c r="C42" s="16" t="s">
        <v>210</v>
      </c>
      <c r="D42" s="42"/>
      <c r="E42" s="16" t="s">
        <v>210</v>
      </c>
      <c r="F42" s="24"/>
      <c r="G42" s="16"/>
      <c r="H42" s="24"/>
    </row>
    <row r="43" spans="1:11" ht="13.5" thickTop="1" x14ac:dyDescent="0.2">
      <c r="A43" s="2" t="s">
        <v>71</v>
      </c>
      <c r="B43" s="6"/>
      <c r="C43" s="6"/>
      <c r="D43" s="6"/>
      <c r="E43" s="6"/>
      <c r="F43" s="23"/>
      <c r="G43" s="6"/>
      <c r="H43" s="23"/>
    </row>
    <row r="44" spans="1:11" x14ac:dyDescent="0.2">
      <c r="A44" s="2" t="s">
        <v>72</v>
      </c>
      <c r="B44" s="25"/>
      <c r="C44" s="25"/>
      <c r="D44" s="25"/>
      <c r="E44" s="25"/>
      <c r="F44" s="28"/>
      <c r="G44" s="25"/>
      <c r="H44" s="28"/>
    </row>
    <row r="45" spans="1:11" ht="13.5" thickBot="1" x14ac:dyDescent="0.25">
      <c r="A45" s="14" t="s">
        <v>20</v>
      </c>
      <c r="B45" s="16"/>
      <c r="C45" s="16"/>
      <c r="D45" s="16"/>
      <c r="E45" s="16"/>
      <c r="F45" s="24"/>
      <c r="G45" s="16"/>
      <c r="H45" s="24"/>
    </row>
    <row r="46" spans="1:11" ht="13.5" thickTop="1" x14ac:dyDescent="0.2">
      <c r="A46" s="9"/>
      <c r="B46" s="7"/>
      <c r="C46" s="20" t="s">
        <v>141</v>
      </c>
      <c r="D46" s="20" t="s">
        <v>141</v>
      </c>
      <c r="E46" s="21" t="s">
        <v>211</v>
      </c>
      <c r="F46" s="7"/>
      <c r="G46" s="7"/>
      <c r="H46" s="7"/>
    </row>
    <row r="47" spans="1:11" x14ac:dyDescent="0.2">
      <c r="A47" s="7"/>
      <c r="B47" s="7"/>
      <c r="C47" s="7"/>
      <c r="D47" s="7"/>
      <c r="E47" s="20" t="s">
        <v>141</v>
      </c>
      <c r="F47" s="7"/>
      <c r="I47" s="7"/>
    </row>
    <row r="48" spans="1:11" ht="13.5" thickBot="1" x14ac:dyDescent="0.25">
      <c r="A48" s="248" t="s">
        <v>75</v>
      </c>
      <c r="B48" s="249" t="s">
        <v>76</v>
      </c>
      <c r="D48" s="7"/>
      <c r="E48" s="7"/>
      <c r="F48" s="7"/>
    </row>
    <row r="49" spans="1:8" ht="13.5" thickTop="1" x14ac:dyDescent="0.2">
      <c r="C49" s="7"/>
      <c r="D49" s="7"/>
      <c r="E49" s="7"/>
      <c r="F49" s="7"/>
    </row>
    <row r="50" spans="1:8" x14ac:dyDescent="0.2">
      <c r="A50" s="2"/>
      <c r="B50" s="7"/>
      <c r="C50" s="7"/>
      <c r="D50" s="7"/>
      <c r="E50" s="7"/>
      <c r="F50" s="7"/>
    </row>
    <row r="51" spans="1:8" x14ac:dyDescent="0.2">
      <c r="A51" s="7"/>
      <c r="B51" s="7"/>
      <c r="C51" s="7"/>
      <c r="D51" s="7"/>
      <c r="E51" s="7"/>
      <c r="F51" s="7"/>
    </row>
    <row r="52" spans="1:8" x14ac:dyDescent="0.2">
      <c r="A52" s="7"/>
      <c r="B52" s="7"/>
      <c r="C52" s="7"/>
      <c r="D52" s="7"/>
      <c r="E52" s="7"/>
      <c r="F52" s="7"/>
    </row>
    <row r="53" spans="1:8" x14ac:dyDescent="0.2">
      <c r="A53" s="7"/>
      <c r="B53" s="7"/>
      <c r="C53" s="7"/>
      <c r="D53" s="7"/>
      <c r="E53" s="7"/>
      <c r="F53" s="7"/>
    </row>
    <row r="54" spans="1:8" x14ac:dyDescent="0.2">
      <c r="A54" s="7"/>
      <c r="B54" s="7"/>
      <c r="C54" s="7"/>
      <c r="D54" s="7"/>
      <c r="E54" s="7"/>
      <c r="F54" s="7"/>
    </row>
    <row r="55" spans="1:8" x14ac:dyDescent="0.2">
      <c r="A55" s="9"/>
      <c r="B55" s="7"/>
      <c r="C55" s="7"/>
      <c r="D55" s="7"/>
      <c r="E55" s="7"/>
      <c r="F55" s="7"/>
      <c r="G55" s="7"/>
      <c r="H55" s="7"/>
    </row>
    <row r="56" spans="1:8" x14ac:dyDescent="0.2">
      <c r="A56" s="9"/>
      <c r="B56" s="7"/>
      <c r="C56" s="7"/>
      <c r="D56" s="7"/>
      <c r="E56" s="7"/>
      <c r="F56" s="7"/>
      <c r="G56" s="7"/>
      <c r="H56" s="7"/>
    </row>
    <row r="57" spans="1:8" x14ac:dyDescent="0.2">
      <c r="A57" s="9"/>
      <c r="B57" s="7"/>
      <c r="C57" s="7"/>
      <c r="D57" s="7"/>
      <c r="E57" s="7"/>
      <c r="F57" s="7"/>
      <c r="G57" s="7"/>
      <c r="H57" s="7"/>
    </row>
    <row r="58" spans="1:8" x14ac:dyDescent="0.2">
      <c r="A58" s="9"/>
      <c r="B58" s="7"/>
      <c r="C58" s="7"/>
      <c r="D58" s="7"/>
      <c r="E58" s="7"/>
      <c r="F58" s="7"/>
      <c r="G58" s="7"/>
      <c r="H58" s="7"/>
    </row>
    <row r="59" spans="1:8" x14ac:dyDescent="0.2">
      <c r="A59" s="9"/>
      <c r="B59" s="7"/>
      <c r="C59" s="7"/>
      <c r="D59" s="7"/>
      <c r="E59" s="7"/>
      <c r="F59" s="7"/>
      <c r="G59" s="7"/>
      <c r="H59" s="7"/>
    </row>
    <row r="60" spans="1:8" x14ac:dyDescent="0.2">
      <c r="A60" s="9"/>
      <c r="B60" s="7"/>
      <c r="C60" s="7"/>
      <c r="D60" s="7"/>
      <c r="E60" s="7"/>
      <c r="F60" s="7"/>
      <c r="G60" s="7"/>
      <c r="H60" s="7"/>
    </row>
    <row r="61" spans="1:8" x14ac:dyDescent="0.2">
      <c r="A61" s="9"/>
      <c r="B61" s="7"/>
      <c r="C61" s="7"/>
      <c r="D61" s="7"/>
      <c r="E61" s="7"/>
      <c r="F61" s="7"/>
      <c r="G61" s="7"/>
      <c r="H61" s="7"/>
    </row>
    <row r="62" spans="1:8" x14ac:dyDescent="0.2">
      <c r="A62" s="11"/>
      <c r="B62" s="7"/>
      <c r="C62" s="7"/>
      <c r="D62" s="7"/>
      <c r="E62" s="7"/>
      <c r="F62" s="7"/>
      <c r="G62" s="7"/>
      <c r="H62" s="7"/>
    </row>
    <row r="63" spans="1:8" x14ac:dyDescent="0.2">
      <c r="A63" s="11"/>
      <c r="B63" s="7"/>
      <c r="C63" s="7"/>
      <c r="D63" s="7"/>
      <c r="E63" s="7"/>
      <c r="F63" s="7"/>
      <c r="G63" s="7"/>
      <c r="H63" s="7"/>
    </row>
    <row r="64" spans="1:8" x14ac:dyDescent="0.2">
      <c r="A64" s="9"/>
      <c r="B64" s="7"/>
      <c r="C64" s="7"/>
      <c r="D64" s="7"/>
      <c r="E64" s="7"/>
      <c r="F64" s="7"/>
      <c r="G64" s="7"/>
      <c r="H64" s="7"/>
    </row>
    <row r="65" spans="1:8" x14ac:dyDescent="0.2">
      <c r="A65" s="9"/>
      <c r="B65" s="7"/>
      <c r="C65" s="7"/>
      <c r="D65" s="7"/>
      <c r="E65" s="7"/>
      <c r="F65" s="7"/>
      <c r="G65" s="7"/>
      <c r="H65" s="7"/>
    </row>
    <row r="66" spans="1:8" x14ac:dyDescent="0.2">
      <c r="A66" s="9"/>
      <c r="B66" s="7"/>
      <c r="C66" s="7"/>
      <c r="D66" s="7"/>
      <c r="E66" s="7"/>
      <c r="F66" s="7"/>
      <c r="G66" s="7"/>
      <c r="H66" s="7"/>
    </row>
    <row r="67" spans="1:8" x14ac:dyDescent="0.2">
      <c r="A67" s="9"/>
      <c r="B67" s="7"/>
      <c r="C67" s="7"/>
      <c r="D67" s="7"/>
      <c r="E67" s="7"/>
      <c r="F67" s="7"/>
      <c r="G67" s="7"/>
      <c r="H67" s="7"/>
    </row>
    <row r="68" spans="1:8" x14ac:dyDescent="0.2">
      <c r="A68" s="9"/>
      <c r="B68" s="7"/>
      <c r="C68" s="7"/>
      <c r="D68" s="7"/>
      <c r="E68" s="7"/>
      <c r="F68" s="7"/>
      <c r="G68" s="7"/>
      <c r="H68" s="7"/>
    </row>
    <row r="69" spans="1:8" x14ac:dyDescent="0.2">
      <c r="A69" s="9"/>
      <c r="B69" s="7"/>
      <c r="C69" s="7"/>
      <c r="D69" s="7"/>
      <c r="E69" s="7"/>
      <c r="F69" s="7"/>
      <c r="G69" s="7"/>
      <c r="H69" s="7"/>
    </row>
    <row r="70" spans="1:8" x14ac:dyDescent="0.2">
      <c r="A70" s="9"/>
      <c r="B70" s="7"/>
      <c r="C70" s="7"/>
      <c r="D70" s="7"/>
      <c r="E70" s="7"/>
      <c r="F70" s="7"/>
      <c r="G70" s="7"/>
      <c r="H70" s="7"/>
    </row>
    <row r="71" spans="1:8" x14ac:dyDescent="0.2">
      <c r="A71" s="11"/>
      <c r="B71" s="7"/>
      <c r="C71" s="7"/>
      <c r="D71" s="7"/>
      <c r="E71" s="7"/>
      <c r="F71" s="7"/>
      <c r="G71" s="7"/>
      <c r="H71" s="7"/>
    </row>
    <row r="72" spans="1:8" x14ac:dyDescent="0.2">
      <c r="A72" s="11"/>
      <c r="B72" s="7"/>
      <c r="C72" s="7"/>
      <c r="D72" s="7"/>
      <c r="E72" s="7"/>
      <c r="F72" s="7"/>
      <c r="G72" s="7"/>
      <c r="H72" s="7"/>
    </row>
    <row r="73" spans="1:8" x14ac:dyDescent="0.2">
      <c r="A73" s="9"/>
      <c r="B73" s="7"/>
      <c r="C73" s="7"/>
      <c r="D73" s="7"/>
      <c r="E73" s="7"/>
      <c r="F73" s="7"/>
      <c r="G73" s="7"/>
      <c r="H73" s="7"/>
    </row>
    <row r="74" spans="1:8" x14ac:dyDescent="0.2">
      <c r="A74" s="9"/>
      <c r="B74" s="7"/>
      <c r="C74" s="7"/>
      <c r="D74" s="7"/>
      <c r="E74" s="7"/>
      <c r="F74" s="7"/>
      <c r="G74" s="7"/>
      <c r="H74" s="7"/>
    </row>
    <row r="75" spans="1:8" x14ac:dyDescent="0.2">
      <c r="A75" s="9"/>
      <c r="B75" s="7"/>
      <c r="C75" s="7"/>
      <c r="D75" s="7"/>
      <c r="E75" s="7"/>
      <c r="F75" s="7"/>
      <c r="G75" s="7"/>
      <c r="H75" s="7"/>
    </row>
    <row r="76" spans="1:8" x14ac:dyDescent="0.2">
      <c r="A76" s="9"/>
      <c r="B76" s="7"/>
      <c r="C76" s="7"/>
      <c r="D76" s="7"/>
      <c r="E76" s="7"/>
      <c r="F76" s="7"/>
      <c r="G76" s="7"/>
      <c r="H76" s="7"/>
    </row>
    <row r="77" spans="1:8" x14ac:dyDescent="0.2">
      <c r="A77" s="9"/>
      <c r="B77" s="7"/>
      <c r="C77" s="7"/>
      <c r="D77" s="7"/>
      <c r="E77" s="7"/>
      <c r="F77" s="7"/>
      <c r="G77" s="7"/>
      <c r="H77" s="7"/>
    </row>
    <row r="78" spans="1:8" x14ac:dyDescent="0.2">
      <c r="A78" s="9"/>
      <c r="B78" s="7"/>
      <c r="C78" s="7"/>
      <c r="D78" s="7"/>
      <c r="E78" s="7"/>
      <c r="F78" s="7"/>
      <c r="G78" s="7"/>
      <c r="H78" s="7"/>
    </row>
    <row r="79" spans="1:8" x14ac:dyDescent="0.2">
      <c r="A79" s="9"/>
      <c r="B79" s="7"/>
      <c r="C79" s="7"/>
      <c r="D79" s="7"/>
      <c r="E79" s="7"/>
      <c r="F79" s="7"/>
      <c r="G79" s="7"/>
      <c r="H79" s="7"/>
    </row>
    <row r="80" spans="1:8" x14ac:dyDescent="0.2">
      <c r="A80" s="11"/>
      <c r="B80" s="7"/>
      <c r="C80" s="7"/>
      <c r="D80" s="7"/>
      <c r="E80" s="7"/>
      <c r="F80" s="7"/>
      <c r="G80" s="7"/>
      <c r="H80" s="7"/>
    </row>
    <row r="81" spans="1:8" x14ac:dyDescent="0.2">
      <c r="A81" s="11"/>
      <c r="B81" s="7"/>
      <c r="C81" s="7"/>
      <c r="D81" s="7"/>
      <c r="E81" s="7"/>
      <c r="F81" s="7"/>
      <c r="G81" s="7"/>
      <c r="H81" s="7"/>
    </row>
    <row r="82" spans="1:8" x14ac:dyDescent="0.2">
      <c r="A82" s="9"/>
      <c r="B82" s="7"/>
      <c r="C82" s="7"/>
      <c r="D82" s="7"/>
      <c r="E82" s="7"/>
      <c r="F82" s="7"/>
      <c r="G82" s="7"/>
      <c r="H82" s="7"/>
    </row>
    <row r="83" spans="1:8" x14ac:dyDescent="0.2">
      <c r="A83" s="9"/>
      <c r="B83" s="7"/>
      <c r="C83" s="7"/>
      <c r="D83" s="7"/>
      <c r="E83" s="7"/>
      <c r="F83" s="7"/>
      <c r="G83" s="7"/>
      <c r="H83" s="7"/>
    </row>
    <row r="84" spans="1:8" x14ac:dyDescent="0.2">
      <c r="A84" s="9"/>
      <c r="B84" s="7"/>
      <c r="C84" s="7"/>
      <c r="D84" s="7"/>
      <c r="E84" s="7"/>
      <c r="F84" s="7"/>
      <c r="G84" s="7"/>
      <c r="H84" s="7"/>
    </row>
    <row r="85" spans="1:8" x14ac:dyDescent="0.2">
      <c r="A85" s="9"/>
      <c r="B85" s="7"/>
      <c r="C85" s="7"/>
      <c r="D85" s="7"/>
      <c r="E85" s="7"/>
      <c r="F85" s="7"/>
      <c r="G85" s="7"/>
      <c r="H85" s="7"/>
    </row>
    <row r="86" spans="1:8" x14ac:dyDescent="0.2">
      <c r="A86" s="9"/>
      <c r="B86" s="7"/>
      <c r="C86" s="7"/>
      <c r="D86" s="7"/>
      <c r="E86" s="7"/>
      <c r="F86" s="7"/>
      <c r="G86" s="7"/>
      <c r="H86" s="7"/>
    </row>
    <row r="87" spans="1:8" x14ac:dyDescent="0.2">
      <c r="A87" s="9"/>
      <c r="B87" s="7"/>
      <c r="C87" s="7"/>
      <c r="D87" s="7"/>
      <c r="E87" s="7"/>
      <c r="F87" s="7"/>
      <c r="G87" s="7"/>
      <c r="H87" s="7"/>
    </row>
    <row r="88" spans="1:8" x14ac:dyDescent="0.2">
      <c r="A88" s="9"/>
      <c r="B88" s="7"/>
      <c r="C88" s="7"/>
      <c r="D88" s="7"/>
      <c r="E88" s="7"/>
      <c r="F88" s="7"/>
      <c r="G88" s="7"/>
      <c r="H88" s="7"/>
    </row>
    <row r="89" spans="1:8" x14ac:dyDescent="0.2">
      <c r="A89" s="9"/>
      <c r="B89" s="7"/>
      <c r="C89" s="7"/>
      <c r="D89" s="7"/>
      <c r="E89" s="7"/>
      <c r="F89" s="7"/>
      <c r="G89" s="7"/>
      <c r="H89" s="7"/>
    </row>
    <row r="90" spans="1:8" x14ac:dyDescent="0.2">
      <c r="A90" s="9"/>
      <c r="B90" s="7"/>
      <c r="C90" s="7"/>
      <c r="D90" s="7"/>
      <c r="E90" s="7"/>
      <c r="F90" s="7"/>
      <c r="G90" s="7"/>
      <c r="H90" s="7"/>
    </row>
    <row r="91" spans="1:8" x14ac:dyDescent="0.2">
      <c r="A91" s="9"/>
      <c r="B91" s="7"/>
      <c r="C91" s="7"/>
      <c r="D91" s="7"/>
      <c r="E91" s="7"/>
      <c r="F91" s="7"/>
      <c r="G91" s="7"/>
      <c r="H91" s="7"/>
    </row>
    <row r="92" spans="1:8" x14ac:dyDescent="0.2">
      <c r="A92" s="9"/>
      <c r="B92" s="7"/>
      <c r="C92" s="7"/>
      <c r="D92" s="7"/>
      <c r="E92" s="7"/>
      <c r="F92" s="7"/>
      <c r="G92" s="7"/>
      <c r="H92" s="7"/>
    </row>
    <row r="93" spans="1:8" x14ac:dyDescent="0.2">
      <c r="A93" s="9"/>
      <c r="B93" s="7"/>
      <c r="C93" s="7"/>
      <c r="D93" s="7"/>
      <c r="E93" s="7"/>
      <c r="F93" s="7"/>
      <c r="G93" s="7"/>
      <c r="H93" s="7"/>
    </row>
    <row r="94" spans="1:8" x14ac:dyDescent="0.2">
      <c r="A94" s="9"/>
      <c r="B94" s="7"/>
      <c r="C94" s="7"/>
      <c r="D94" s="7"/>
      <c r="E94" s="7"/>
      <c r="F94" s="7"/>
      <c r="G94" s="7"/>
      <c r="H94" s="7"/>
    </row>
    <row r="95" spans="1:8" x14ac:dyDescent="0.2">
      <c r="A95" s="9"/>
      <c r="B95" s="7"/>
      <c r="C95" s="7"/>
      <c r="D95" s="7"/>
      <c r="E95" s="7"/>
      <c r="F95" s="7"/>
      <c r="G95" s="7"/>
      <c r="H95" s="7"/>
    </row>
    <row r="96" spans="1:8" x14ac:dyDescent="0.2">
      <c r="A96" s="9"/>
      <c r="B96" s="7"/>
      <c r="C96" s="7"/>
      <c r="D96" s="7"/>
      <c r="E96" s="7"/>
      <c r="F96" s="7"/>
      <c r="G96" s="7"/>
      <c r="H96" s="7"/>
    </row>
    <row r="97" spans="1:8" x14ac:dyDescent="0.2">
      <c r="A97" s="9"/>
      <c r="B97" s="7"/>
      <c r="C97" s="7"/>
      <c r="D97" s="7"/>
      <c r="E97" s="7"/>
      <c r="F97" s="7"/>
      <c r="G97" s="7"/>
      <c r="H97" s="7"/>
    </row>
    <row r="98" spans="1:8" x14ac:dyDescent="0.2">
      <c r="A98" s="9"/>
      <c r="B98" s="7"/>
      <c r="C98" s="7"/>
      <c r="D98" s="7"/>
      <c r="E98" s="7"/>
      <c r="F98" s="7"/>
      <c r="G98" s="7"/>
      <c r="H98" s="7"/>
    </row>
    <row r="99" spans="1:8" x14ac:dyDescent="0.2">
      <c r="A99" s="9"/>
      <c r="B99" s="7"/>
      <c r="C99" s="7"/>
      <c r="D99" s="7"/>
      <c r="E99" s="7"/>
      <c r="F99" s="7"/>
      <c r="G99" s="7"/>
      <c r="H99" s="7"/>
    </row>
    <row r="100" spans="1:8" x14ac:dyDescent="0.2">
      <c r="A100" s="9"/>
      <c r="B100" s="7"/>
      <c r="C100" s="7"/>
      <c r="D100" s="7"/>
      <c r="E100" s="7"/>
      <c r="F100" s="7"/>
      <c r="G100" s="7"/>
      <c r="H100" s="7"/>
    </row>
    <row r="101" spans="1:8" x14ac:dyDescent="0.2">
      <c r="A101" s="9"/>
      <c r="B101" s="7"/>
      <c r="C101" s="7"/>
      <c r="D101" s="7"/>
      <c r="E101" s="7"/>
      <c r="F101" s="7"/>
      <c r="G101" s="7"/>
      <c r="H101" s="7"/>
    </row>
    <row r="102" spans="1:8" x14ac:dyDescent="0.2">
      <c r="A102" s="9"/>
      <c r="B102" s="7"/>
      <c r="C102" s="7"/>
      <c r="D102" s="7"/>
      <c r="E102" s="7"/>
      <c r="F102" s="7"/>
      <c r="G102" s="7"/>
      <c r="H102" s="7"/>
    </row>
    <row r="103" spans="1:8" x14ac:dyDescent="0.2">
      <c r="A103" s="9"/>
      <c r="B103" s="7"/>
      <c r="C103" s="7"/>
      <c r="D103" s="7"/>
      <c r="E103" s="7"/>
      <c r="F103" s="7"/>
      <c r="G103" s="7"/>
      <c r="H103" s="7"/>
    </row>
    <row r="104" spans="1:8" x14ac:dyDescent="0.2">
      <c r="A104" s="9"/>
      <c r="B104" s="7"/>
      <c r="C104" s="7"/>
      <c r="D104" s="7"/>
      <c r="E104" s="7"/>
      <c r="F104" s="7"/>
      <c r="G104" s="7"/>
      <c r="H104" s="7"/>
    </row>
    <row r="105" spans="1:8" x14ac:dyDescent="0.2">
      <c r="A105" s="9"/>
      <c r="B105" s="7"/>
      <c r="C105" s="7"/>
      <c r="D105" s="7"/>
      <c r="E105" s="7"/>
      <c r="F105" s="7"/>
      <c r="G105" s="7"/>
      <c r="H105" s="7"/>
    </row>
    <row r="106" spans="1:8" x14ac:dyDescent="0.2">
      <c r="A106" s="9"/>
      <c r="B106" s="7"/>
      <c r="C106" s="7"/>
      <c r="D106" s="7"/>
      <c r="E106" s="7"/>
      <c r="F106" s="7"/>
      <c r="G106" s="7"/>
      <c r="H106" s="7"/>
    </row>
    <row r="107" spans="1:8" x14ac:dyDescent="0.2">
      <c r="A107" s="9"/>
      <c r="B107" s="7"/>
      <c r="C107" s="7"/>
      <c r="D107" s="7"/>
      <c r="E107" s="7"/>
      <c r="F107" s="7"/>
      <c r="G107" s="7"/>
      <c r="H107" s="7"/>
    </row>
    <row r="108" spans="1:8" x14ac:dyDescent="0.2">
      <c r="A108" s="9"/>
      <c r="B108" s="7"/>
      <c r="C108" s="7"/>
      <c r="D108" s="7"/>
      <c r="E108" s="7"/>
      <c r="F108" s="7"/>
      <c r="G108" s="7"/>
      <c r="H108" s="7"/>
    </row>
    <row r="109" spans="1:8" x14ac:dyDescent="0.2">
      <c r="A109" s="9"/>
      <c r="B109" s="7"/>
      <c r="C109" s="7"/>
      <c r="D109" s="7"/>
      <c r="E109" s="7"/>
      <c r="F109" s="7"/>
      <c r="G109" s="7"/>
      <c r="H109" s="7"/>
    </row>
    <row r="110" spans="1:8" x14ac:dyDescent="0.2">
      <c r="A110" s="9"/>
      <c r="B110" s="7"/>
      <c r="C110" s="7"/>
      <c r="D110" s="7"/>
      <c r="E110" s="7"/>
      <c r="F110" s="7"/>
      <c r="G110" s="7"/>
      <c r="H110" s="7"/>
    </row>
    <row r="111" spans="1:8" x14ac:dyDescent="0.2">
      <c r="A111" s="9"/>
      <c r="B111" s="7"/>
      <c r="C111" s="7"/>
      <c r="D111" s="7"/>
      <c r="E111" s="7"/>
      <c r="F111" s="7"/>
      <c r="G111" s="7"/>
      <c r="H111" s="7"/>
    </row>
    <row r="112" spans="1:8" x14ac:dyDescent="0.2">
      <c r="A112" s="9"/>
      <c r="B112" s="7"/>
      <c r="C112" s="7"/>
      <c r="D112" s="7"/>
      <c r="E112" s="7"/>
      <c r="F112" s="7"/>
      <c r="G112" s="7"/>
      <c r="H112" s="7"/>
    </row>
    <row r="113" spans="1:8" x14ac:dyDescent="0.2">
      <c r="A113" s="9"/>
      <c r="B113" s="7"/>
      <c r="C113" s="7"/>
      <c r="D113" s="7"/>
      <c r="E113" s="7"/>
      <c r="F113" s="7"/>
      <c r="G113" s="7"/>
      <c r="H113" s="7"/>
    </row>
    <row r="114" spans="1:8" x14ac:dyDescent="0.2">
      <c r="A114" s="9"/>
      <c r="B114" s="7"/>
      <c r="C114" s="7"/>
      <c r="D114" s="7"/>
      <c r="E114" s="7"/>
      <c r="F114" s="7"/>
      <c r="G114" s="7"/>
      <c r="H114" s="7"/>
    </row>
    <row r="115" spans="1:8" x14ac:dyDescent="0.2">
      <c r="A115" s="9"/>
      <c r="B115" s="7"/>
      <c r="C115" s="7"/>
      <c r="D115" s="7"/>
      <c r="E115" s="7"/>
      <c r="F115" s="7"/>
      <c r="G115" s="7"/>
      <c r="H115" s="7"/>
    </row>
    <row r="116" spans="1:8" x14ac:dyDescent="0.2">
      <c r="A116" s="9"/>
      <c r="B116" s="7"/>
      <c r="C116" s="7"/>
      <c r="D116" s="7"/>
      <c r="E116" s="7"/>
      <c r="F116" s="7"/>
      <c r="G116" s="7"/>
      <c r="H116" s="7"/>
    </row>
    <row r="117" spans="1:8" x14ac:dyDescent="0.2">
      <c r="A117" s="9"/>
      <c r="B117" s="7"/>
      <c r="C117" s="7"/>
      <c r="D117" s="7"/>
      <c r="E117" s="7"/>
      <c r="F117" s="7"/>
      <c r="G117" s="7"/>
      <c r="H117" s="7"/>
    </row>
    <row r="118" spans="1:8" x14ac:dyDescent="0.2">
      <c r="A118" s="9"/>
      <c r="B118" s="7"/>
      <c r="C118" s="7"/>
      <c r="D118" s="7"/>
      <c r="E118" s="7"/>
      <c r="F118" s="7"/>
      <c r="G118" s="7"/>
      <c r="H118" s="7"/>
    </row>
    <row r="119" spans="1:8" x14ac:dyDescent="0.2">
      <c r="A119" s="9"/>
      <c r="B119" s="7"/>
      <c r="C119" s="7"/>
      <c r="D119" s="7"/>
      <c r="E119" s="7"/>
      <c r="F119" s="7"/>
      <c r="G119" s="7"/>
      <c r="H119" s="7"/>
    </row>
    <row r="120" spans="1:8" x14ac:dyDescent="0.2">
      <c r="A120" s="9"/>
      <c r="B120" s="7"/>
      <c r="C120" s="7"/>
      <c r="D120" s="7"/>
      <c r="E120" s="7"/>
      <c r="F120" s="7"/>
      <c r="G120" s="7"/>
      <c r="H120" s="7"/>
    </row>
    <row r="121" spans="1:8" x14ac:dyDescent="0.2">
      <c r="A121" s="9"/>
      <c r="B121" s="7"/>
      <c r="C121" s="7"/>
      <c r="D121" s="7"/>
      <c r="E121" s="7"/>
      <c r="F121" s="7"/>
      <c r="G121" s="7"/>
      <c r="H121" s="7"/>
    </row>
    <row r="122" spans="1:8" x14ac:dyDescent="0.2">
      <c r="A122" s="9"/>
      <c r="B122" s="7"/>
      <c r="C122" s="7"/>
      <c r="D122" s="7"/>
      <c r="E122" s="7"/>
      <c r="F122" s="7"/>
      <c r="G122" s="7"/>
      <c r="H122" s="7"/>
    </row>
    <row r="123" spans="1:8" x14ac:dyDescent="0.2">
      <c r="A123" s="9"/>
      <c r="B123" s="7"/>
      <c r="C123" s="7"/>
      <c r="D123" s="7"/>
      <c r="E123" s="7"/>
      <c r="F123" s="7"/>
      <c r="G123" s="7"/>
      <c r="H123" s="7"/>
    </row>
    <row r="124" spans="1:8" x14ac:dyDescent="0.2">
      <c r="A124" s="9"/>
      <c r="B124" s="7"/>
      <c r="C124" s="7"/>
      <c r="D124" s="7"/>
      <c r="E124" s="7"/>
      <c r="F124" s="7"/>
      <c r="G124" s="7"/>
      <c r="H124" s="7"/>
    </row>
    <row r="125" spans="1:8" x14ac:dyDescent="0.2">
      <c r="A125" s="9"/>
      <c r="B125" s="7"/>
      <c r="C125" s="7"/>
      <c r="D125" s="7"/>
      <c r="E125" s="7"/>
      <c r="F125" s="7"/>
      <c r="G125" s="7"/>
      <c r="H125" s="7"/>
    </row>
    <row r="126" spans="1:8" x14ac:dyDescent="0.2">
      <c r="A126" s="9"/>
      <c r="B126" s="7"/>
      <c r="C126" s="7"/>
      <c r="D126" s="7"/>
      <c r="E126" s="7"/>
      <c r="F126" s="7"/>
      <c r="G126" s="7"/>
      <c r="H126" s="7"/>
    </row>
    <row r="127" spans="1:8" x14ac:dyDescent="0.2">
      <c r="A127" s="9"/>
      <c r="B127" s="7"/>
      <c r="C127" s="7"/>
      <c r="D127" s="7"/>
      <c r="E127" s="7"/>
      <c r="F127" s="7"/>
      <c r="G127" s="7"/>
      <c r="H127" s="7"/>
    </row>
    <row r="128" spans="1:8" x14ac:dyDescent="0.2">
      <c r="A128" s="9"/>
      <c r="B128" s="7"/>
      <c r="C128" s="7"/>
      <c r="D128" s="7"/>
      <c r="E128" s="7"/>
      <c r="F128" s="7"/>
      <c r="G128" s="7"/>
      <c r="H128" s="7"/>
    </row>
    <row r="129" spans="1:8" x14ac:dyDescent="0.2">
      <c r="A129" s="9"/>
      <c r="B129" s="7"/>
      <c r="C129" s="7"/>
      <c r="D129" s="7"/>
      <c r="E129" s="7"/>
      <c r="F129" s="7"/>
      <c r="G129" s="7"/>
      <c r="H129" s="7"/>
    </row>
    <row r="130" spans="1:8" x14ac:dyDescent="0.2">
      <c r="A130" s="9"/>
      <c r="B130" s="7"/>
      <c r="C130" s="7"/>
      <c r="D130" s="7"/>
      <c r="E130" s="7"/>
      <c r="F130" s="7"/>
      <c r="G130" s="7"/>
      <c r="H130" s="7"/>
    </row>
    <row r="131" spans="1:8" x14ac:dyDescent="0.2">
      <c r="A131" s="9"/>
      <c r="B131" s="7"/>
      <c r="C131" s="7"/>
      <c r="D131" s="7"/>
      <c r="E131" s="7"/>
      <c r="F131" s="7"/>
      <c r="G131" s="7"/>
      <c r="H131" s="7"/>
    </row>
    <row r="132" spans="1:8" x14ac:dyDescent="0.2">
      <c r="A132" s="9"/>
      <c r="B132" s="7"/>
      <c r="C132" s="7"/>
      <c r="D132" s="7"/>
      <c r="E132" s="7"/>
      <c r="F132" s="7"/>
      <c r="G132" s="7"/>
      <c r="H132" s="7"/>
    </row>
    <row r="133" spans="1:8" x14ac:dyDescent="0.2">
      <c r="A133" s="9"/>
      <c r="B133" s="7"/>
      <c r="C133" s="7"/>
      <c r="D133" s="7"/>
      <c r="E133" s="7"/>
      <c r="F133" s="7"/>
      <c r="G133" s="7"/>
      <c r="H133" s="7"/>
    </row>
    <row r="134" spans="1:8" x14ac:dyDescent="0.2">
      <c r="A134" s="9"/>
      <c r="B134" s="7"/>
      <c r="C134" s="7"/>
      <c r="D134" s="7"/>
      <c r="E134" s="7"/>
      <c r="F134" s="7"/>
      <c r="G134" s="7"/>
      <c r="H134" s="7"/>
    </row>
    <row r="135" spans="1:8" x14ac:dyDescent="0.2">
      <c r="A135" s="9"/>
      <c r="B135" s="7"/>
      <c r="C135" s="7"/>
      <c r="D135" s="7"/>
      <c r="E135" s="7"/>
      <c r="F135" s="7"/>
      <c r="G135" s="7"/>
      <c r="H135" s="7"/>
    </row>
    <row r="136" spans="1:8" x14ac:dyDescent="0.2">
      <c r="A136" s="9"/>
      <c r="B136" s="7"/>
      <c r="C136" s="7"/>
      <c r="D136" s="7"/>
      <c r="E136" s="7"/>
      <c r="F136" s="7"/>
      <c r="G136" s="7"/>
      <c r="H136" s="7"/>
    </row>
    <row r="137" spans="1:8" x14ac:dyDescent="0.2">
      <c r="A137" s="9"/>
      <c r="B137" s="7"/>
      <c r="C137" s="7"/>
      <c r="D137" s="7"/>
      <c r="E137" s="7"/>
      <c r="F137" s="7"/>
      <c r="G137" s="7"/>
      <c r="H137" s="7"/>
    </row>
    <row r="138" spans="1:8" x14ac:dyDescent="0.2">
      <c r="A138" s="9"/>
      <c r="B138" s="7"/>
      <c r="C138" s="7"/>
      <c r="D138" s="7"/>
      <c r="E138" s="7"/>
      <c r="F138" s="7"/>
      <c r="G138" s="7"/>
      <c r="H138" s="7"/>
    </row>
    <row r="139" spans="1:8" x14ac:dyDescent="0.2">
      <c r="A139" s="9"/>
      <c r="B139" s="7"/>
      <c r="C139" s="7"/>
      <c r="D139" s="7"/>
      <c r="E139" s="7"/>
      <c r="F139" s="7"/>
      <c r="G139" s="7"/>
      <c r="H139" s="7"/>
    </row>
    <row r="140" spans="1:8" x14ac:dyDescent="0.2">
      <c r="A140" s="9"/>
      <c r="B140" s="7"/>
      <c r="C140" s="7"/>
      <c r="D140" s="7"/>
      <c r="E140" s="7"/>
      <c r="F140" s="7"/>
      <c r="G140" s="7"/>
      <c r="H140" s="7"/>
    </row>
    <row r="141" spans="1:8" x14ac:dyDescent="0.2">
      <c r="A141" s="9"/>
      <c r="B141" s="7"/>
      <c r="C141" s="7"/>
      <c r="D141" s="7"/>
      <c r="E141" s="7"/>
      <c r="F141" s="7"/>
      <c r="G141" s="7"/>
      <c r="H141" s="7"/>
    </row>
    <row r="142" spans="1:8" x14ac:dyDescent="0.2">
      <c r="A142" s="9"/>
      <c r="B142" s="7"/>
      <c r="C142" s="7"/>
      <c r="D142" s="7"/>
      <c r="E142" s="7"/>
      <c r="F142" s="7"/>
      <c r="G142" s="7"/>
      <c r="H142" s="7"/>
    </row>
    <row r="143" spans="1:8" x14ac:dyDescent="0.2">
      <c r="A143" s="9"/>
      <c r="B143" s="7"/>
      <c r="C143" s="7"/>
      <c r="D143" s="7"/>
      <c r="E143" s="7"/>
      <c r="F143" s="7"/>
      <c r="G143" s="7"/>
      <c r="H143" s="7"/>
    </row>
    <row r="144" spans="1:8" x14ac:dyDescent="0.2">
      <c r="A144" s="9"/>
      <c r="B144" s="7"/>
      <c r="C144" s="7"/>
      <c r="D144" s="7"/>
      <c r="E144" s="7"/>
      <c r="F144" s="7"/>
      <c r="G144" s="7"/>
      <c r="H144" s="7"/>
    </row>
    <row r="145" spans="1:8" x14ac:dyDescent="0.2">
      <c r="A145" s="9"/>
      <c r="B145" s="7"/>
      <c r="C145" s="7"/>
      <c r="D145" s="7"/>
      <c r="E145" s="7"/>
      <c r="F145" s="7"/>
      <c r="G145" s="7"/>
      <c r="H145" s="7"/>
    </row>
    <row r="146" spans="1:8" x14ac:dyDescent="0.2">
      <c r="A146" s="9"/>
      <c r="B146" s="7"/>
      <c r="C146" s="7"/>
      <c r="D146" s="7"/>
      <c r="E146" s="7"/>
      <c r="F146" s="7"/>
      <c r="G146" s="7"/>
      <c r="H146" s="7"/>
    </row>
    <row r="147" spans="1:8" x14ac:dyDescent="0.2">
      <c r="A147" s="9"/>
      <c r="B147" s="7"/>
      <c r="C147" s="7"/>
      <c r="D147" s="7"/>
      <c r="E147" s="7"/>
      <c r="F147" s="7"/>
      <c r="G147" s="7"/>
      <c r="H147" s="7"/>
    </row>
    <row r="148" spans="1:8" x14ac:dyDescent="0.2">
      <c r="A148" s="9"/>
      <c r="B148" s="7"/>
      <c r="C148" s="7"/>
      <c r="D148" s="7"/>
      <c r="E148" s="7"/>
      <c r="F148" s="7"/>
      <c r="G148" s="7"/>
      <c r="H148" s="7"/>
    </row>
    <row r="149" spans="1:8" x14ac:dyDescent="0.2">
      <c r="A149" s="9"/>
      <c r="B149" s="7"/>
      <c r="C149" s="7"/>
      <c r="D149" s="7"/>
      <c r="E149" s="7"/>
      <c r="F149" s="7"/>
      <c r="G149" s="7"/>
      <c r="H149" s="7"/>
    </row>
    <row r="150" spans="1:8" x14ac:dyDescent="0.2">
      <c r="A150" s="9"/>
      <c r="B150" s="7"/>
      <c r="C150" s="7"/>
      <c r="D150" s="7"/>
      <c r="E150" s="7"/>
      <c r="F150" s="7"/>
      <c r="G150" s="7"/>
      <c r="H150" s="7"/>
    </row>
    <row r="151" spans="1:8" x14ac:dyDescent="0.2">
      <c r="A151" s="9"/>
      <c r="B151" s="7"/>
      <c r="C151" s="7"/>
      <c r="D151" s="7"/>
      <c r="E151" s="7"/>
      <c r="F151" s="7"/>
      <c r="G151" s="7"/>
      <c r="H151" s="7"/>
    </row>
    <row r="152" spans="1:8" x14ac:dyDescent="0.2">
      <c r="A152" s="9"/>
      <c r="B152" s="7"/>
      <c r="C152" s="7"/>
      <c r="D152" s="7"/>
      <c r="E152" s="7"/>
      <c r="F152" s="7"/>
      <c r="G152" s="7"/>
      <c r="H152" s="7"/>
    </row>
    <row r="153" spans="1:8" x14ac:dyDescent="0.2">
      <c r="A153" s="9"/>
      <c r="B153" s="7"/>
      <c r="C153" s="7"/>
      <c r="D153" s="7"/>
      <c r="E153" s="7"/>
      <c r="F153" s="7"/>
      <c r="G153" s="7"/>
      <c r="H153" s="7"/>
    </row>
    <row r="154" spans="1:8" x14ac:dyDescent="0.2">
      <c r="A154" s="9"/>
      <c r="B154" s="7"/>
      <c r="C154" s="7"/>
      <c r="D154" s="7"/>
      <c r="E154" s="7"/>
      <c r="F154" s="7"/>
      <c r="G154" s="7"/>
      <c r="H154" s="7"/>
    </row>
    <row r="155" spans="1:8" x14ac:dyDescent="0.2">
      <c r="A155" s="9"/>
      <c r="B155" s="7"/>
      <c r="C155" s="7"/>
      <c r="D155" s="7"/>
      <c r="E155" s="7"/>
      <c r="F155" s="7"/>
      <c r="G155" s="7"/>
      <c r="H155" s="7"/>
    </row>
    <row r="156" spans="1:8" x14ac:dyDescent="0.2">
      <c r="A156" s="9"/>
      <c r="B156" s="7"/>
      <c r="C156" s="7"/>
      <c r="D156" s="7"/>
      <c r="E156" s="7"/>
      <c r="F156" s="7"/>
      <c r="G156" s="7"/>
      <c r="H156" s="7"/>
    </row>
    <row r="157" spans="1:8" x14ac:dyDescent="0.2">
      <c r="A157" s="9"/>
      <c r="B157" s="7"/>
      <c r="C157" s="7"/>
      <c r="D157" s="7"/>
      <c r="E157" s="7"/>
      <c r="F157" s="7"/>
      <c r="G157" s="7"/>
      <c r="H157" s="7"/>
    </row>
    <row r="158" spans="1:8" x14ac:dyDescent="0.2">
      <c r="A158" s="9"/>
      <c r="B158" s="7"/>
      <c r="C158" s="7"/>
      <c r="D158" s="7"/>
      <c r="E158" s="7"/>
      <c r="F158" s="7"/>
      <c r="G158" s="7"/>
      <c r="H158" s="7"/>
    </row>
    <row r="159" spans="1:8" x14ac:dyDescent="0.2">
      <c r="A159" s="9"/>
      <c r="B159" s="7"/>
      <c r="C159" s="7"/>
      <c r="D159" s="7"/>
      <c r="E159" s="7"/>
      <c r="F159" s="7"/>
      <c r="G159" s="7"/>
      <c r="H159" s="7"/>
    </row>
    <row r="160" spans="1:8" x14ac:dyDescent="0.2">
      <c r="A160" s="9"/>
      <c r="B160" s="7"/>
      <c r="C160" s="7"/>
      <c r="D160" s="7"/>
      <c r="E160" s="7"/>
      <c r="F160" s="7"/>
      <c r="G160" s="7"/>
      <c r="H160" s="7"/>
    </row>
  </sheetData>
  <customSheetViews>
    <customSheetView guid="{413CAF1F-62E2-41F5-A4C6-2C341582DC5D}" scale="80" showPageBreaks="1" fitToPage="1" printArea="1">
      <pane ySplit="1" topLeftCell="A2" activePane="bottomLeft" state="frozen"/>
      <selection pane="bottomLeft" activeCell="B14" sqref="B14"/>
      <rowBreaks count="1" manualBreakCount="1">
        <brk id="40" max="7" man="1"/>
      </rowBreaks>
      <pageMargins left="0" right="0" top="0" bottom="0" header="0" footer="0"/>
      <printOptions gridLines="1"/>
      <pageSetup paperSize="9" scale="65" fitToWidth="0" orientation="landscape" r:id="rId1"/>
      <headerFooter alignWithMargins="0">
        <oddHeader xml:space="preserve">&amp;C
2019. ...&amp;"Arial,Félkövér"04&amp;"Arial,Normál"...hó..&amp;"Arial,Félkövér"15-21&amp;"Arial,Normál".......-ig     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I30" sqref="I30"/>
      <rowBreaks count="1" manualBreakCount="1">
        <brk id="43" max="7" man="1"/>
      </rowBreaks>
      <pageMargins left="0" right="0" top="0" bottom="0" header="0" footer="0"/>
      <printOptions gridLines="1"/>
      <pageSetup paperSize="9" scale="75" orientation="landscape" r:id="rId2"/>
      <headerFooter alignWithMargins="0">
        <oddHeader xml:space="preserve">&amp;C
2019. ...&amp;"Arial,Félkövér"04&amp;"Arial,Normál"...hó..&amp;"Arial,Félkövér"8-12&amp;"Arial,Normál".......-ig     </oddHeader>
      </headerFooter>
    </customSheetView>
    <customSheetView guid="{07BAD8F1-49B6-40C7-A1B5-B8EF23A4A904}" scale="80" showPageBreaks="1" fitToPage="1" printArea="1">
      <pane ySplit="1" topLeftCell="A2" activePane="bottomLeft" state="frozen"/>
      <selection pane="bottomLeft" activeCell="B14" sqref="B14"/>
      <rowBreaks count="1" manualBreakCount="1">
        <brk id="40" max="7" man="1"/>
      </rowBreaks>
      <pageMargins left="0" right="0" top="0" bottom="0" header="0" footer="0"/>
      <printOptions gridLines="1"/>
      <pageSetup paperSize="9" scale="66" fitToWidth="0" orientation="landscape" r:id="rId3"/>
      <headerFooter alignWithMargins="0">
        <oddHeader xml:space="preserve">&amp;C
2019. ...&amp;"Arial,Félkövér"04&amp;"Arial,Normál"...hó..&amp;"Arial,Félkövér"15-21&amp;"Arial,Normál".......-ig     </oddHeader>
      </headerFooter>
    </customSheetView>
    <customSheetView guid="{4B58F0A9-071E-4376-B7AD-463366669E19}" scale="80" fitToPage="1">
      <pane ySplit="1" topLeftCell="A2" activePane="bottomLeft" state="frozen"/>
      <selection pane="bottomLeft" activeCell="B14" sqref="B14"/>
      <rowBreaks count="1" manualBreakCount="1">
        <brk id="40" max="7" man="1"/>
      </rowBreaks>
      <pageMargins left="0" right="0" top="0" bottom="0" header="0" footer="0"/>
      <printOptions gridLines="1"/>
      <pageSetup paperSize="9" scale="65" fitToWidth="0" orientation="landscape" r:id="rId4"/>
      <headerFooter alignWithMargins="0">
        <oddHeader xml:space="preserve">&amp;C
2019. ...&amp;"Arial,Félkövér"04&amp;"Arial,Normál"...hó..&amp;"Arial,Félkövér"15-21&amp;"Arial,Normál".......-ig     </oddHeader>
      </headerFooter>
    </customSheetView>
    <customSheetView guid="{63A8D7FC-210D-4D74-8AB0-DBA9D993D16B}" scale="80" showPageBreaks="1" fitToPage="1" printArea="1">
      <pane ySplit="1" topLeftCell="A2" activePane="bottomLeft" state="frozen"/>
      <selection pane="bottomLeft" activeCell="B14" sqref="B14"/>
      <rowBreaks count="1" manualBreakCount="1">
        <brk id="40" max="7" man="1"/>
      </rowBreaks>
      <pageMargins left="0" right="0" top="0" bottom="0" header="0" footer="0"/>
      <printOptions gridLines="1"/>
      <pageSetup paperSize="9" scale="65" fitToWidth="0" orientation="landscape" r:id="rId5"/>
      <headerFooter alignWithMargins="0">
        <oddHeader xml:space="preserve">&amp;C
2019. ...&amp;"Arial,Félkövér"04&amp;"Arial,Normál"...hó..&amp;"Arial,Félkövér"15-21&amp;"Arial,Normál".......-ig     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E18" sqref="E18"/>
      <rowBreaks count="1" manualBreakCount="1">
        <brk id="42" max="7" man="1"/>
      </rowBreaks>
      <pageMargins left="0" right="0" top="0" bottom="0" header="0" footer="0"/>
      <printOptions gridLines="1"/>
      <pageSetup paperSize="9" scale="90" orientation="landscape" r:id="rId6"/>
      <headerFooter alignWithMargins="0">
        <oddHeader xml:space="preserve">&amp;C
2019. ...&amp;"Arial,Félkövér"04&amp;"Arial,Normál"...hó..&amp;"Arial,Félkövér"15-18&amp;"Arial,Normál".......-ig     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K30" sqref="K30"/>
      <rowBreaks count="1" manualBreakCount="1">
        <brk id="42" max="7" man="1"/>
      </rowBreaks>
      <pageMargins left="0" right="0" top="0" bottom="0" header="0" footer="0"/>
      <printOptions gridLines="1"/>
      <pageSetup paperSize="8" scale="95" orientation="landscape" r:id="rId7"/>
      <headerFooter alignWithMargins="0">
        <oddHeader xml:space="preserve">&amp;C
2019. ...&amp;"Arial,Félkövér"04&amp;"Arial,Normál"...hó..&amp;"Arial,Félkövér"8-12&amp;"Arial,Normál".......-ig     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37" sqref="E37"/>
      <rowBreaks count="1" manualBreakCount="1">
        <brk id="42" max="7" man="1"/>
      </rowBreaks>
      <pageMargins left="0" right="0" top="0" bottom="0" header="0" footer="0"/>
      <printOptions gridLines="1"/>
      <pageSetup paperSize="8" scale="95" orientation="landscape" r:id="rId8"/>
      <headerFooter alignWithMargins="0">
        <oddHeader xml:space="preserve">&amp;C
2019. ...&amp;"Arial,Félkövér"04&amp;"Arial,Normál"...hó..&amp;"Arial,Félkövér"8-12&amp;"Arial,Normál".......-ig     </oddHeader>
      </headerFooter>
    </customSheetView>
    <customSheetView guid="{A47E18E7-D250-4913-909E-65F626A4EC80}" scale="80" showPageBreaks="1" fitToPage="1" printArea="1">
      <pane ySplit="1" topLeftCell="A2" activePane="bottomLeft" state="frozen"/>
      <selection pane="bottomLeft" activeCell="B14" sqref="B14"/>
      <rowBreaks count="1" manualBreakCount="1">
        <brk id="40" max="7" man="1"/>
      </rowBreaks>
      <pageMargins left="0" right="0" top="0" bottom="0" header="0" footer="0"/>
      <printOptions gridLines="1"/>
      <pageSetup paperSize="9" scale="65" fitToWidth="0" orientation="landscape" r:id="rId9"/>
      <headerFooter alignWithMargins="0">
        <oddHeader xml:space="preserve">&amp;C
2019. ...&amp;"Arial,Félkövér"04&amp;"Arial,Normál"...hó..&amp;"Arial,Félkövér"15-21&amp;"Arial,Normál".......-ig     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E18" sqref="E18"/>
      <rowBreaks count="1" manualBreakCount="1">
        <brk id="42" max="7" man="1"/>
      </rowBreaks>
      <pageMargins left="0" right="0" top="0" bottom="0" header="0" footer="0"/>
      <printOptions gridLines="1"/>
      <pageSetup paperSize="9" scale="90" orientation="landscape" r:id="rId10"/>
      <headerFooter alignWithMargins="0">
        <oddHeader xml:space="preserve">&amp;C
2019. ...&amp;"Arial,Félkövér"04&amp;"Arial,Normál"...hó..&amp;"Arial,Félkövér"15-18&amp;"Arial,Normál".......-ig     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D13" sqref="D13"/>
      <rowBreaks count="1" manualBreakCount="1">
        <brk id="42" max="7" man="1"/>
      </rowBreaks>
      <pageMargins left="0" right="0" top="0" bottom="0" header="0" footer="0"/>
      <printOptions gridLines="1"/>
      <pageSetup paperSize="9" scale="75" orientation="landscape" r:id="rId11"/>
      <headerFooter alignWithMargins="0">
        <oddHeader xml:space="preserve">&amp;C
2019. ...&amp;"Arial,Félkövér"04&amp;"Arial,Normál"...hó..&amp;"Arial,Félkövér"8-12&amp;"Arial,Normál".......-ig     </oddHeader>
      </headerFooter>
    </customSheetView>
    <customSheetView guid="{0D091791-6928-48DD-B75F-0677FDB23A54}" scale="80" showPageBreaks="1" fitToPage="1" printArea="1">
      <pane ySplit="1" topLeftCell="A2" activePane="bottomLeft" state="frozen"/>
      <selection pane="bottomLeft" activeCell="B14" sqref="B14"/>
      <rowBreaks count="1" manualBreakCount="1">
        <brk id="40" max="7" man="1"/>
      </rowBreaks>
      <pageMargins left="0" right="0" top="0" bottom="0" header="0" footer="0"/>
      <printOptions gridLines="1"/>
      <pageSetup paperSize="9" scale="65" fitToWidth="0" orientation="landscape" r:id="rId12"/>
      <headerFooter alignWithMargins="0">
        <oddHeader xml:space="preserve">&amp;C
2019. ...&amp;"Arial,Félkövér"04&amp;"Arial,Normál"...hó..&amp;"Arial,Félkövér"15-21&amp;"Arial,Normál".......-ig     </oddHeader>
      </headerFooter>
    </customSheetView>
  </customSheetViews>
  <printOptions gridLines="1"/>
  <pageMargins left="0.51181102362204722" right="0.11811023622047245" top="0.78740157480314965" bottom="0.35433070866141736" header="0.31496062992125984" footer="0.31496062992125984"/>
  <pageSetup paperSize="9" scale="65" fitToWidth="0" orientation="landscape" r:id="rId13"/>
  <headerFooter alignWithMargins="0">
    <oddHeader xml:space="preserve">&amp;C
2019. ...&amp;"Arial,Félkövér"04&amp;"Arial,Normál"...hó..&amp;"Arial,Félkövér"15-21&amp;"Arial,Normál".......-ig     </oddHeader>
  </headerFooter>
  <rowBreaks count="1" manualBreakCount="1">
    <brk id="40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Munka4"/>
  <dimension ref="A1:K158"/>
  <sheetViews>
    <sheetView zoomScale="80" zoomScaleNormal="80" zoomScaleSheetLayoutView="40" workbookViewId="0">
      <pane ySplit="1" topLeftCell="A2" activePane="bottomLeft" state="frozen"/>
      <selection pane="bottomLeft" activeCell="F11" sqref="F11"/>
    </sheetView>
  </sheetViews>
  <sheetFormatPr defaultRowHeight="12.75" x14ac:dyDescent="0.2"/>
  <cols>
    <col min="1" max="1" width="12.28515625" style="1" customWidth="1"/>
    <col min="2" max="8" width="29.140625" customWidth="1"/>
    <col min="9" max="9" width="30.7109375" customWidth="1"/>
  </cols>
  <sheetData>
    <row r="1" spans="1:11" ht="32.25" customHeight="1" thickBot="1" x14ac:dyDescent="0.25">
      <c r="A1" s="2"/>
      <c r="B1" s="4" t="s">
        <v>212</v>
      </c>
      <c r="C1" s="4" t="s">
        <v>213</v>
      </c>
      <c r="D1" s="4" t="s">
        <v>214</v>
      </c>
      <c r="E1" s="4" t="s">
        <v>215</v>
      </c>
      <c r="F1" s="4" t="s">
        <v>216</v>
      </c>
      <c r="G1" s="4" t="s">
        <v>217</v>
      </c>
      <c r="H1" s="4" t="s">
        <v>218</v>
      </c>
      <c r="I1" s="4"/>
    </row>
    <row r="2" spans="1:11" ht="15" customHeight="1" x14ac:dyDescent="0.2">
      <c r="A2" s="3"/>
      <c r="B2" s="22"/>
      <c r="C2" s="12" t="s">
        <v>16</v>
      </c>
      <c r="D2" s="18" t="s">
        <v>219</v>
      </c>
      <c r="E2" s="18" t="s">
        <v>220</v>
      </c>
      <c r="F2" s="18"/>
      <c r="G2" s="8"/>
      <c r="H2" s="8"/>
      <c r="I2" s="5"/>
    </row>
    <row r="3" spans="1:11" ht="15" customHeight="1" x14ac:dyDescent="0.2">
      <c r="A3" s="3"/>
      <c r="B3" s="23"/>
      <c r="C3" s="13" t="s">
        <v>221</v>
      </c>
      <c r="D3" s="17" t="s">
        <v>222</v>
      </c>
      <c r="E3" s="13" t="s">
        <v>223</v>
      </c>
      <c r="F3" s="6"/>
      <c r="G3" s="6"/>
      <c r="H3" s="6"/>
      <c r="I3" s="5"/>
    </row>
    <row r="4" spans="1:11" ht="15" customHeight="1" x14ac:dyDescent="0.2">
      <c r="A4" s="3"/>
      <c r="B4" s="23"/>
      <c r="C4" s="6"/>
      <c r="D4" s="13" t="s">
        <v>223</v>
      </c>
      <c r="E4" s="6"/>
      <c r="F4" s="6"/>
      <c r="G4" s="6"/>
      <c r="H4" s="6"/>
      <c r="I4" s="5"/>
    </row>
    <row r="5" spans="1:11" ht="15" customHeight="1" x14ac:dyDescent="0.2">
      <c r="A5" s="3" t="s">
        <v>18</v>
      </c>
      <c r="B5" s="23"/>
      <c r="C5" s="6"/>
      <c r="D5" s="6"/>
      <c r="E5" s="6"/>
      <c r="F5" s="6"/>
      <c r="G5" s="6"/>
      <c r="H5" s="6"/>
    </row>
    <row r="6" spans="1:11" ht="15" customHeight="1" x14ac:dyDescent="0.2">
      <c r="A6" s="39" t="s">
        <v>19</v>
      </c>
      <c r="B6" s="23"/>
      <c r="C6" s="6"/>
      <c r="D6" s="6"/>
      <c r="E6" s="6"/>
      <c r="F6" s="6"/>
      <c r="G6" s="6"/>
      <c r="H6" s="6"/>
    </row>
    <row r="7" spans="1:11" ht="15" customHeight="1" thickBot="1" x14ac:dyDescent="0.25">
      <c r="B7" s="28"/>
      <c r="C7" s="25"/>
      <c r="D7" s="42"/>
      <c r="E7" s="25"/>
      <c r="F7" s="25"/>
      <c r="G7" s="25"/>
      <c r="H7" s="25"/>
    </row>
    <row r="8" spans="1:11" ht="15" customHeight="1" thickBot="1" x14ac:dyDescent="0.25">
      <c r="A8" s="14" t="s">
        <v>20</v>
      </c>
      <c r="B8" s="24"/>
      <c r="C8" s="15" t="s">
        <v>224</v>
      </c>
      <c r="D8" s="15" t="s">
        <v>21</v>
      </c>
      <c r="E8" s="41" t="s">
        <v>21</v>
      </c>
      <c r="F8" s="15"/>
      <c r="G8" s="16"/>
      <c r="H8" s="16"/>
    </row>
    <row r="9" spans="1:11" ht="15" customHeight="1" thickTop="1" x14ac:dyDescent="0.2">
      <c r="B9" s="23"/>
      <c r="C9" s="195" t="s">
        <v>104</v>
      </c>
      <c r="D9" s="18" t="s">
        <v>225</v>
      </c>
      <c r="E9" s="17" t="s">
        <v>226</v>
      </c>
      <c r="F9" s="18" t="s">
        <v>227</v>
      </c>
      <c r="G9" s="6"/>
      <c r="H9" s="6"/>
    </row>
    <row r="10" spans="1:11" ht="15" customHeight="1" x14ac:dyDescent="0.2">
      <c r="B10" s="23"/>
      <c r="C10" s="196" t="s">
        <v>228</v>
      </c>
      <c r="D10" s="13" t="s">
        <v>228</v>
      </c>
      <c r="E10" s="6"/>
      <c r="F10" s="17" t="s">
        <v>203</v>
      </c>
      <c r="G10" s="6"/>
      <c r="H10" s="6"/>
    </row>
    <row r="11" spans="1:11" ht="15" customHeight="1" x14ac:dyDescent="0.2">
      <c r="B11" s="23"/>
      <c r="C11" s="197"/>
      <c r="D11" s="6"/>
      <c r="E11" s="6"/>
      <c r="F11" s="13" t="s">
        <v>172</v>
      </c>
      <c r="G11" s="6"/>
      <c r="H11" s="6"/>
    </row>
    <row r="12" spans="1:11" ht="15" customHeight="1" x14ac:dyDescent="0.2">
      <c r="A12" s="2" t="s">
        <v>18</v>
      </c>
      <c r="B12" s="23"/>
      <c r="C12" s="197"/>
      <c r="D12" s="6"/>
      <c r="E12" s="6"/>
      <c r="F12" s="6"/>
      <c r="G12" s="6"/>
      <c r="H12" s="6"/>
    </row>
    <row r="13" spans="1:11" ht="15" customHeight="1" x14ac:dyDescent="0.2">
      <c r="A13" s="2" t="s">
        <v>30</v>
      </c>
      <c r="B13" s="23"/>
      <c r="C13" s="197"/>
      <c r="D13" s="6"/>
      <c r="E13" s="6"/>
      <c r="F13" s="6"/>
      <c r="G13" s="6"/>
      <c r="H13" s="6"/>
    </row>
    <row r="14" spans="1:11" ht="15" customHeight="1" x14ac:dyDescent="0.2">
      <c r="B14" s="28"/>
      <c r="C14" s="198"/>
      <c r="D14" s="25"/>
      <c r="E14" s="25"/>
      <c r="F14" s="25"/>
      <c r="G14" s="25"/>
      <c r="H14" s="25"/>
      <c r="K14" s="7"/>
    </row>
    <row r="15" spans="1:11" ht="15" customHeight="1" thickBot="1" x14ac:dyDescent="0.25">
      <c r="A15" s="14" t="s">
        <v>20</v>
      </c>
      <c r="B15" s="24"/>
      <c r="C15" s="194" t="s">
        <v>31</v>
      </c>
      <c r="D15" s="15" t="s">
        <v>31</v>
      </c>
      <c r="E15" s="15" t="s">
        <v>31</v>
      </c>
      <c r="F15" s="15" t="s">
        <v>31</v>
      </c>
      <c r="G15" s="16"/>
      <c r="H15" s="16"/>
    </row>
    <row r="16" spans="1:11" ht="15" customHeight="1" thickTop="1" x14ac:dyDescent="0.2">
      <c r="B16" s="23"/>
      <c r="C16" s="13" t="s">
        <v>229</v>
      </c>
      <c r="D16" s="17" t="s">
        <v>230</v>
      </c>
      <c r="E16" s="17" t="s">
        <v>231</v>
      </c>
      <c r="F16" s="53" t="s">
        <v>232</v>
      </c>
      <c r="G16" s="6"/>
      <c r="H16" s="6"/>
    </row>
    <row r="17" spans="1:8" ht="15" customHeight="1" x14ac:dyDescent="0.2">
      <c r="B17" s="23"/>
      <c r="C17" s="6"/>
      <c r="D17" s="13" t="s">
        <v>229</v>
      </c>
      <c r="E17" s="17" t="s">
        <v>231</v>
      </c>
      <c r="F17" s="17" t="s">
        <v>233</v>
      </c>
      <c r="G17" s="6"/>
      <c r="H17" s="6"/>
    </row>
    <row r="18" spans="1:8" ht="15" customHeight="1" x14ac:dyDescent="0.2">
      <c r="B18" s="23"/>
      <c r="C18" s="6"/>
      <c r="D18" s="17" t="s">
        <v>234</v>
      </c>
      <c r="E18" s="17" t="s">
        <v>233</v>
      </c>
      <c r="F18" s="17" t="s">
        <v>233</v>
      </c>
      <c r="G18" s="6"/>
      <c r="H18" s="6"/>
    </row>
    <row r="19" spans="1:8" ht="15" customHeight="1" x14ac:dyDescent="0.2">
      <c r="A19" s="2" t="s">
        <v>41</v>
      </c>
      <c r="B19" s="23"/>
      <c r="C19" s="6"/>
      <c r="D19" s="6"/>
      <c r="E19" s="17" t="s">
        <v>233</v>
      </c>
      <c r="F19" s="6"/>
      <c r="G19" s="6"/>
      <c r="H19" s="6"/>
    </row>
    <row r="20" spans="1:8" ht="15" customHeight="1" x14ac:dyDescent="0.2">
      <c r="A20" s="2" t="s">
        <v>43</v>
      </c>
      <c r="B20" s="23"/>
      <c r="C20" s="6"/>
      <c r="D20" s="6"/>
      <c r="E20" s="6"/>
      <c r="F20" s="6"/>
      <c r="G20" s="6"/>
      <c r="H20" s="6"/>
    </row>
    <row r="21" spans="1:8" x14ac:dyDescent="0.2">
      <c r="B21" s="28"/>
      <c r="C21" s="25"/>
      <c r="D21" s="25"/>
      <c r="E21" s="25"/>
      <c r="F21" s="25"/>
      <c r="G21" s="25"/>
      <c r="H21" s="25"/>
    </row>
    <row r="22" spans="1:8" ht="13.5" thickBot="1" x14ac:dyDescent="0.25">
      <c r="A22" s="14" t="s">
        <v>20</v>
      </c>
      <c r="B22" s="24"/>
      <c r="C22" s="15" t="s">
        <v>235</v>
      </c>
      <c r="D22" s="15" t="s">
        <v>138</v>
      </c>
      <c r="E22" s="15" t="s">
        <v>138</v>
      </c>
      <c r="F22" s="15" t="s">
        <v>138</v>
      </c>
      <c r="G22" s="16"/>
      <c r="H22" s="16"/>
    </row>
    <row r="23" spans="1:8" ht="13.5" thickTop="1" x14ac:dyDescent="0.2">
      <c r="B23" s="23"/>
      <c r="C23" s="6"/>
      <c r="D23" s="17" t="s">
        <v>48</v>
      </c>
      <c r="E23" s="17" t="s">
        <v>48</v>
      </c>
      <c r="F23" s="17" t="s">
        <v>48</v>
      </c>
      <c r="G23" s="6"/>
      <c r="H23" s="6"/>
    </row>
    <row r="24" spans="1:8" x14ac:dyDescent="0.2">
      <c r="B24" s="23"/>
      <c r="C24" s="6"/>
      <c r="D24" s="6"/>
      <c r="E24" s="6"/>
      <c r="F24" s="6"/>
      <c r="G24" s="6"/>
      <c r="H24" s="6"/>
    </row>
    <row r="25" spans="1:8" x14ac:dyDescent="0.2">
      <c r="B25" s="23"/>
      <c r="C25" s="6"/>
      <c r="D25" s="6"/>
      <c r="E25" s="6"/>
      <c r="F25" s="6"/>
      <c r="G25" s="6"/>
      <c r="H25" s="6"/>
    </row>
    <row r="26" spans="1:8" x14ac:dyDescent="0.2">
      <c r="A26" s="2" t="s">
        <v>41</v>
      </c>
      <c r="B26" s="23"/>
      <c r="C26" s="6"/>
      <c r="D26" s="6"/>
      <c r="E26" s="6"/>
      <c r="F26" s="6"/>
      <c r="G26" s="6"/>
      <c r="H26" s="6"/>
    </row>
    <row r="27" spans="1:8" x14ac:dyDescent="0.2">
      <c r="A27" s="2" t="s">
        <v>50</v>
      </c>
      <c r="B27" s="23"/>
      <c r="C27" s="6"/>
      <c r="D27" s="6"/>
      <c r="E27" s="6"/>
      <c r="F27" s="6"/>
      <c r="G27" s="6"/>
      <c r="H27" s="6"/>
    </row>
    <row r="28" spans="1:8" x14ac:dyDescent="0.2">
      <c r="A28" s="9"/>
      <c r="B28" s="28"/>
      <c r="C28" s="25"/>
      <c r="D28" s="25"/>
      <c r="E28" s="25"/>
      <c r="F28" s="25"/>
      <c r="G28" s="25"/>
      <c r="H28" s="25"/>
    </row>
    <row r="29" spans="1:8" ht="13.5" thickBot="1" x14ac:dyDescent="0.25">
      <c r="A29" s="14" t="s">
        <v>20</v>
      </c>
      <c r="B29" s="24"/>
      <c r="C29" s="15"/>
      <c r="D29" s="15" t="s">
        <v>52</v>
      </c>
      <c r="E29" s="15" t="s">
        <v>52</v>
      </c>
      <c r="F29" s="15" t="s">
        <v>52</v>
      </c>
      <c r="G29" s="16"/>
      <c r="H29" s="16"/>
    </row>
    <row r="30" spans="1:8" ht="13.5" thickTop="1" x14ac:dyDescent="0.2">
      <c r="A30" s="9"/>
      <c r="B30" s="23"/>
      <c r="C30" s="6"/>
      <c r="D30" s="13" t="s">
        <v>229</v>
      </c>
      <c r="E30" s="17" t="s">
        <v>236</v>
      </c>
      <c r="F30" s="13" t="s">
        <v>229</v>
      </c>
      <c r="G30" s="6"/>
      <c r="H30" s="6"/>
    </row>
    <row r="31" spans="1:8" x14ac:dyDescent="0.2">
      <c r="A31" s="9"/>
      <c r="B31" s="23"/>
      <c r="C31" s="6"/>
      <c r="D31" s="6"/>
      <c r="E31" s="13" t="s">
        <v>237</v>
      </c>
      <c r="F31" s="13"/>
      <c r="G31" s="6"/>
      <c r="H31" s="6"/>
    </row>
    <row r="32" spans="1:8" x14ac:dyDescent="0.2">
      <c r="A32" s="9"/>
      <c r="B32" s="23"/>
      <c r="C32" s="6"/>
      <c r="D32" s="6"/>
      <c r="E32" s="6"/>
      <c r="F32" s="6"/>
      <c r="G32" s="6"/>
      <c r="H32" s="6"/>
    </row>
    <row r="33" spans="1:8" x14ac:dyDescent="0.2">
      <c r="A33" s="26" t="s">
        <v>59</v>
      </c>
      <c r="B33" s="23"/>
      <c r="C33" s="6"/>
      <c r="D33" s="6"/>
      <c r="E33" s="6"/>
      <c r="F33" s="6"/>
      <c r="G33" s="6"/>
      <c r="H33" s="6"/>
    </row>
    <row r="34" spans="1:8" x14ac:dyDescent="0.2">
      <c r="A34" s="26" t="s">
        <v>60</v>
      </c>
      <c r="B34" s="23"/>
      <c r="C34" s="6"/>
      <c r="D34" s="6"/>
      <c r="E34" s="6"/>
      <c r="F34" s="6"/>
      <c r="G34" s="6"/>
      <c r="H34" s="6"/>
    </row>
    <row r="35" spans="1:8" x14ac:dyDescent="0.2">
      <c r="A35" s="9"/>
      <c r="B35" s="28"/>
      <c r="C35" s="25"/>
      <c r="D35" s="25"/>
      <c r="E35" s="25"/>
      <c r="F35" s="25"/>
      <c r="G35" s="25"/>
      <c r="H35" s="25"/>
    </row>
    <row r="36" spans="1:8" ht="13.5" thickBot="1" x14ac:dyDescent="0.25">
      <c r="A36" s="14" t="s">
        <v>20</v>
      </c>
      <c r="B36" s="24"/>
      <c r="C36" s="16"/>
      <c r="D36" s="16" t="s">
        <v>151</v>
      </c>
      <c r="E36" s="16" t="s">
        <v>151</v>
      </c>
      <c r="F36" s="194" t="s">
        <v>151</v>
      </c>
      <c r="G36" s="16"/>
      <c r="H36" s="16"/>
    </row>
    <row r="37" spans="1:8" ht="13.5" thickTop="1" x14ac:dyDescent="0.2">
      <c r="A37" s="10"/>
      <c r="B37" s="23"/>
      <c r="C37" s="6"/>
      <c r="D37" s="6"/>
      <c r="E37" s="38" t="s">
        <v>238</v>
      </c>
      <c r="F37" s="6"/>
      <c r="G37" s="6"/>
      <c r="H37" s="6"/>
    </row>
    <row r="38" spans="1:8" x14ac:dyDescent="0.2">
      <c r="A38" s="10"/>
      <c r="B38" s="23"/>
      <c r="C38" s="6"/>
      <c r="D38" s="6"/>
      <c r="E38" s="6"/>
      <c r="F38" s="6"/>
      <c r="G38" s="6"/>
      <c r="H38" s="6"/>
    </row>
    <row r="39" spans="1:8" x14ac:dyDescent="0.2">
      <c r="A39" s="26" t="s">
        <v>66</v>
      </c>
      <c r="B39" s="23"/>
      <c r="C39" s="6"/>
      <c r="D39" s="6"/>
      <c r="E39" s="6"/>
      <c r="F39" s="6"/>
      <c r="G39" s="6"/>
      <c r="H39" s="6"/>
    </row>
    <row r="40" spans="1:8" x14ac:dyDescent="0.2">
      <c r="A40" s="26" t="s">
        <v>67</v>
      </c>
      <c r="B40" s="23"/>
      <c r="C40" s="6"/>
      <c r="D40" s="6"/>
      <c r="E40" s="6"/>
      <c r="F40" s="6"/>
      <c r="G40" s="6"/>
      <c r="H40" s="6"/>
    </row>
    <row r="41" spans="1:8" x14ac:dyDescent="0.2">
      <c r="B41" s="28"/>
      <c r="C41" s="25"/>
      <c r="D41" s="25"/>
      <c r="E41" s="25"/>
      <c r="F41" s="25"/>
      <c r="G41" s="25"/>
      <c r="H41" s="25"/>
    </row>
    <row r="42" spans="1:8" ht="13.5" thickBot="1" x14ac:dyDescent="0.25">
      <c r="A42" s="14" t="s">
        <v>20</v>
      </c>
      <c r="B42" s="24"/>
      <c r="C42" s="16"/>
      <c r="D42" s="16"/>
      <c r="E42" s="15" t="s">
        <v>239</v>
      </c>
      <c r="F42" s="16"/>
      <c r="G42" s="16"/>
      <c r="H42" s="16"/>
    </row>
    <row r="43" spans="1:8" ht="13.5" thickTop="1" x14ac:dyDescent="0.2">
      <c r="A43" s="2" t="s">
        <v>71</v>
      </c>
      <c r="B43" s="23"/>
      <c r="C43" s="6"/>
      <c r="D43" s="6"/>
      <c r="E43" s="6"/>
      <c r="F43" s="6"/>
      <c r="G43" s="6"/>
      <c r="H43" s="6"/>
    </row>
    <row r="44" spans="1:8" x14ac:dyDescent="0.2">
      <c r="A44" s="2" t="s">
        <v>72</v>
      </c>
      <c r="B44" s="23"/>
      <c r="C44" s="6"/>
      <c r="D44" s="6"/>
      <c r="E44" s="6"/>
      <c r="F44" s="6"/>
      <c r="G44" s="6"/>
      <c r="H44" s="6"/>
    </row>
    <row r="45" spans="1:8" x14ac:dyDescent="0.2">
      <c r="B45" s="28"/>
      <c r="C45" s="25"/>
      <c r="D45" s="25"/>
      <c r="E45" s="25"/>
      <c r="F45" s="25"/>
      <c r="G45" s="25"/>
      <c r="H45" s="25"/>
    </row>
    <row r="46" spans="1:8" ht="13.5" thickBot="1" x14ac:dyDescent="0.25">
      <c r="A46" s="14" t="s">
        <v>20</v>
      </c>
      <c r="B46" s="24"/>
      <c r="C46" s="16"/>
      <c r="D46" s="16"/>
      <c r="E46" s="16"/>
      <c r="F46" s="16"/>
      <c r="G46" s="16"/>
      <c r="H46" s="16"/>
    </row>
    <row r="47" spans="1:8" ht="13.5" thickTop="1" x14ac:dyDescent="0.2">
      <c r="A47" s="11"/>
      <c r="B47" s="7"/>
      <c r="C47" s="21" t="s">
        <v>240</v>
      </c>
      <c r="D47" s="7"/>
      <c r="E47" s="7"/>
      <c r="F47" s="20" t="s">
        <v>73</v>
      </c>
      <c r="G47" s="7"/>
      <c r="H47" s="7"/>
    </row>
    <row r="48" spans="1:8" x14ac:dyDescent="0.2">
      <c r="A48" s="11"/>
      <c r="B48" s="7"/>
      <c r="C48" s="21" t="s">
        <v>46</v>
      </c>
      <c r="D48" s="7"/>
      <c r="E48" s="7"/>
      <c r="F48" s="20" t="s">
        <v>240</v>
      </c>
      <c r="G48" s="7"/>
      <c r="H48" s="7"/>
    </row>
    <row r="49" spans="1:8" x14ac:dyDescent="0.2">
      <c r="A49" s="9"/>
      <c r="B49" s="7"/>
      <c r="C49" s="7"/>
      <c r="D49" s="7"/>
      <c r="E49" s="7"/>
      <c r="F49" s="7"/>
      <c r="G49" s="7"/>
    </row>
    <row r="50" spans="1:8" x14ac:dyDescent="0.2">
      <c r="A50" s="9"/>
      <c r="B50" s="7"/>
      <c r="C50" s="7"/>
      <c r="D50" s="7"/>
      <c r="E50" s="7"/>
      <c r="F50" s="7"/>
      <c r="G50" s="7"/>
    </row>
    <row r="51" spans="1:8" ht="13.5" thickBot="1" x14ac:dyDescent="0.25">
      <c r="A51" s="248" t="s">
        <v>75</v>
      </c>
      <c r="B51" s="251" t="s">
        <v>76</v>
      </c>
      <c r="D51" s="7"/>
      <c r="E51" s="7"/>
      <c r="F51" s="7"/>
      <c r="G51" s="7"/>
    </row>
    <row r="52" spans="1:8" ht="13.5" thickTop="1" x14ac:dyDescent="0.2">
      <c r="A52" s="11"/>
      <c r="B52" s="7"/>
      <c r="C52" s="7"/>
      <c r="D52" s="7"/>
      <c r="E52" s="7"/>
      <c r="F52" s="7"/>
      <c r="G52" s="7"/>
      <c r="H52" s="7"/>
    </row>
    <row r="53" spans="1:8" x14ac:dyDescent="0.2">
      <c r="A53" s="9"/>
      <c r="B53" s="7"/>
      <c r="C53" s="7"/>
      <c r="D53" s="7"/>
      <c r="E53" s="7"/>
      <c r="F53" s="7"/>
      <c r="G53" s="7"/>
      <c r="H53" s="7"/>
    </row>
    <row r="54" spans="1:8" x14ac:dyDescent="0.2">
      <c r="A54" s="9"/>
      <c r="B54" s="7"/>
      <c r="C54" s="7"/>
      <c r="D54" s="7"/>
      <c r="E54" s="7"/>
      <c r="F54" s="7"/>
      <c r="G54" s="7"/>
      <c r="H54" s="7"/>
    </row>
    <row r="55" spans="1:8" x14ac:dyDescent="0.2">
      <c r="A55" s="9"/>
      <c r="B55" s="7"/>
      <c r="C55" s="7"/>
      <c r="D55" s="7"/>
      <c r="E55" s="7"/>
      <c r="F55" s="7"/>
      <c r="G55" s="7"/>
      <c r="H55" s="7"/>
    </row>
    <row r="56" spans="1:8" x14ac:dyDescent="0.2">
      <c r="A56" s="9"/>
      <c r="B56" s="7"/>
      <c r="C56" s="31"/>
      <c r="D56" s="7"/>
      <c r="E56" s="7"/>
      <c r="F56" s="7"/>
      <c r="G56" s="7"/>
      <c r="H56" s="7"/>
    </row>
    <row r="57" spans="1:8" x14ac:dyDescent="0.2">
      <c r="A57" s="9"/>
      <c r="B57" s="7"/>
      <c r="C57" s="7"/>
      <c r="D57" s="7"/>
      <c r="E57" s="7"/>
      <c r="F57" s="7"/>
      <c r="G57" s="7"/>
      <c r="H57" s="7"/>
    </row>
    <row r="58" spans="1:8" x14ac:dyDescent="0.2">
      <c r="A58" s="9"/>
      <c r="B58" s="7"/>
      <c r="C58" s="7"/>
      <c r="D58" s="7"/>
      <c r="E58" s="7"/>
      <c r="F58" s="7"/>
      <c r="G58" s="7"/>
      <c r="H58" s="7"/>
    </row>
    <row r="59" spans="1:8" x14ac:dyDescent="0.2">
      <c r="A59" s="9"/>
      <c r="B59" s="7"/>
      <c r="C59" s="7"/>
      <c r="D59" s="7"/>
      <c r="E59" s="7"/>
      <c r="F59" s="7"/>
      <c r="G59" s="7"/>
      <c r="H59" s="7"/>
    </row>
    <row r="60" spans="1:8" x14ac:dyDescent="0.2">
      <c r="A60" s="11"/>
      <c r="B60" s="7"/>
      <c r="C60" s="7"/>
      <c r="D60" s="7"/>
      <c r="E60" s="7"/>
      <c r="F60" s="7"/>
      <c r="G60" s="7"/>
      <c r="H60" s="7"/>
    </row>
    <row r="61" spans="1:8" x14ac:dyDescent="0.2">
      <c r="A61" s="11"/>
      <c r="B61" s="7"/>
      <c r="C61" s="7"/>
      <c r="D61" s="7"/>
      <c r="E61" s="7"/>
      <c r="F61" s="7"/>
      <c r="G61" s="7"/>
      <c r="H61" s="7"/>
    </row>
    <row r="62" spans="1:8" x14ac:dyDescent="0.2">
      <c r="A62" s="9"/>
      <c r="B62" s="7"/>
      <c r="C62" s="7"/>
      <c r="D62" s="7"/>
      <c r="E62" s="7"/>
      <c r="F62" s="7"/>
      <c r="G62" s="7"/>
      <c r="H62" s="7"/>
    </row>
    <row r="63" spans="1:8" x14ac:dyDescent="0.2">
      <c r="A63" s="9"/>
      <c r="B63" s="7"/>
      <c r="C63" s="7"/>
      <c r="D63" s="7"/>
      <c r="E63" s="7"/>
      <c r="F63" s="7"/>
      <c r="G63" s="7"/>
      <c r="H63" s="7"/>
    </row>
    <row r="64" spans="1:8" x14ac:dyDescent="0.2">
      <c r="A64" s="9"/>
      <c r="B64" s="7"/>
      <c r="C64" s="7"/>
      <c r="D64" s="7"/>
      <c r="E64" s="7"/>
      <c r="F64" s="7"/>
      <c r="G64" s="7"/>
      <c r="H64" s="7"/>
    </row>
    <row r="65" spans="1:8" x14ac:dyDescent="0.2">
      <c r="A65" s="9"/>
      <c r="B65" s="7"/>
      <c r="C65" s="7"/>
      <c r="D65" s="7"/>
      <c r="E65" s="7"/>
      <c r="F65" s="7"/>
      <c r="G65" s="7"/>
      <c r="H65" s="7"/>
    </row>
    <row r="66" spans="1:8" x14ac:dyDescent="0.2">
      <c r="A66" s="9"/>
      <c r="B66" s="7"/>
      <c r="C66" s="7"/>
      <c r="D66" s="7"/>
      <c r="E66" s="7"/>
      <c r="F66" s="7"/>
      <c r="G66" s="7"/>
      <c r="H66" s="7"/>
    </row>
    <row r="67" spans="1:8" x14ac:dyDescent="0.2">
      <c r="A67" s="9"/>
      <c r="B67" s="7"/>
      <c r="C67" s="7"/>
      <c r="D67" s="7"/>
      <c r="E67" s="7"/>
      <c r="F67" s="7"/>
      <c r="G67" s="7"/>
      <c r="H67" s="7"/>
    </row>
    <row r="68" spans="1:8" x14ac:dyDescent="0.2">
      <c r="A68" s="9"/>
      <c r="B68" s="7"/>
      <c r="C68" s="7"/>
      <c r="D68" s="7"/>
      <c r="E68" s="7"/>
      <c r="F68" s="7"/>
      <c r="G68" s="7"/>
      <c r="H68" s="7"/>
    </row>
    <row r="69" spans="1:8" x14ac:dyDescent="0.2">
      <c r="A69" s="11"/>
      <c r="B69" s="7"/>
      <c r="C69" s="7"/>
      <c r="D69" s="7"/>
      <c r="E69" s="7"/>
      <c r="F69" s="7"/>
      <c r="G69" s="7"/>
      <c r="H69" s="7"/>
    </row>
    <row r="70" spans="1:8" x14ac:dyDescent="0.2">
      <c r="A70" s="11"/>
      <c r="B70" s="7"/>
      <c r="C70" s="7"/>
      <c r="D70" s="7"/>
      <c r="E70" s="7"/>
      <c r="F70" s="7"/>
      <c r="G70" s="7"/>
      <c r="H70" s="7"/>
    </row>
    <row r="71" spans="1:8" x14ac:dyDescent="0.2">
      <c r="A71" s="9"/>
      <c r="B71" s="7"/>
      <c r="C71" s="7"/>
      <c r="D71" s="7"/>
      <c r="E71" s="7"/>
      <c r="F71" s="7"/>
      <c r="G71" s="7"/>
      <c r="H71" s="7"/>
    </row>
    <row r="72" spans="1:8" x14ac:dyDescent="0.2">
      <c r="A72" s="9"/>
      <c r="B72" s="7"/>
      <c r="C72" s="7"/>
      <c r="D72" s="7"/>
      <c r="E72" s="7"/>
      <c r="F72" s="7"/>
      <c r="G72" s="7"/>
      <c r="H72" s="7"/>
    </row>
    <row r="73" spans="1:8" x14ac:dyDescent="0.2">
      <c r="A73" s="9"/>
      <c r="B73" s="7"/>
      <c r="C73" s="7"/>
      <c r="D73" s="7"/>
      <c r="E73" s="7"/>
      <c r="F73" s="7"/>
      <c r="G73" s="7"/>
      <c r="H73" s="7"/>
    </row>
    <row r="74" spans="1:8" x14ac:dyDescent="0.2">
      <c r="A74" s="9"/>
      <c r="B74" s="7"/>
      <c r="C74" s="7"/>
      <c r="D74" s="7"/>
      <c r="E74" s="7"/>
      <c r="F74" s="7"/>
      <c r="G74" s="7"/>
      <c r="H74" s="7"/>
    </row>
    <row r="75" spans="1:8" x14ac:dyDescent="0.2">
      <c r="A75" s="9"/>
      <c r="B75" s="7"/>
      <c r="C75" s="7"/>
      <c r="D75" s="7"/>
      <c r="E75" s="7"/>
      <c r="F75" s="7"/>
      <c r="G75" s="7"/>
      <c r="H75" s="7"/>
    </row>
    <row r="76" spans="1:8" x14ac:dyDescent="0.2">
      <c r="A76" s="9"/>
      <c r="B76" s="7"/>
      <c r="C76" s="7"/>
      <c r="D76" s="7"/>
      <c r="E76" s="7"/>
      <c r="F76" s="7"/>
      <c r="G76" s="7"/>
      <c r="H76" s="7"/>
    </row>
    <row r="77" spans="1:8" x14ac:dyDescent="0.2">
      <c r="A77" s="9"/>
      <c r="B77" s="7"/>
      <c r="C77" s="7"/>
      <c r="D77" s="7"/>
      <c r="E77" s="7"/>
      <c r="F77" s="7"/>
      <c r="G77" s="7"/>
      <c r="H77" s="7"/>
    </row>
    <row r="78" spans="1:8" x14ac:dyDescent="0.2">
      <c r="A78" s="11"/>
      <c r="B78" s="7"/>
      <c r="C78" s="7"/>
      <c r="D78" s="7"/>
      <c r="E78" s="7"/>
      <c r="F78" s="7"/>
      <c r="G78" s="7"/>
      <c r="H78" s="7"/>
    </row>
    <row r="79" spans="1:8" x14ac:dyDescent="0.2">
      <c r="A79" s="11"/>
      <c r="B79" s="7"/>
      <c r="C79" s="7"/>
      <c r="D79" s="7"/>
      <c r="E79" s="7"/>
      <c r="F79" s="7"/>
      <c r="G79" s="7"/>
      <c r="H79" s="7"/>
    </row>
    <row r="80" spans="1:8" x14ac:dyDescent="0.2">
      <c r="A80" s="9"/>
      <c r="B80" s="7"/>
      <c r="C80" s="7"/>
      <c r="D80" s="7"/>
      <c r="E80" s="7"/>
      <c r="F80" s="7"/>
      <c r="G80" s="7"/>
      <c r="H80" s="7"/>
    </row>
    <row r="81" spans="1:8" x14ac:dyDescent="0.2">
      <c r="A81" s="9"/>
      <c r="B81" s="7"/>
      <c r="C81" s="7"/>
      <c r="D81" s="7"/>
      <c r="E81" s="7"/>
      <c r="F81" s="7"/>
      <c r="G81" s="7"/>
      <c r="H81" s="7"/>
    </row>
    <row r="82" spans="1:8" x14ac:dyDescent="0.2">
      <c r="A82" s="9"/>
      <c r="B82" s="7"/>
      <c r="C82" s="7"/>
      <c r="D82" s="7"/>
      <c r="E82" s="7"/>
      <c r="F82" s="7"/>
      <c r="G82" s="7"/>
      <c r="H82" s="7"/>
    </row>
    <row r="83" spans="1:8" x14ac:dyDescent="0.2">
      <c r="A83" s="9"/>
      <c r="B83" s="7"/>
      <c r="C83" s="7"/>
      <c r="D83" s="7"/>
      <c r="E83" s="7"/>
      <c r="F83" s="7"/>
      <c r="G83" s="7"/>
      <c r="H83" s="7"/>
    </row>
    <row r="84" spans="1:8" x14ac:dyDescent="0.2">
      <c r="A84" s="9"/>
      <c r="B84" s="7"/>
      <c r="C84" s="7"/>
      <c r="D84" s="7"/>
      <c r="E84" s="7"/>
      <c r="F84" s="7"/>
      <c r="G84" s="7"/>
      <c r="H84" s="7"/>
    </row>
    <row r="85" spans="1:8" x14ac:dyDescent="0.2">
      <c r="A85" s="9"/>
      <c r="B85" s="7"/>
      <c r="C85" s="7"/>
      <c r="D85" s="7"/>
      <c r="E85" s="7"/>
      <c r="F85" s="7"/>
      <c r="G85" s="7"/>
      <c r="H85" s="7"/>
    </row>
    <row r="86" spans="1:8" x14ac:dyDescent="0.2">
      <c r="A86" s="9"/>
      <c r="B86" s="7"/>
      <c r="C86" s="7"/>
      <c r="D86" s="7"/>
      <c r="E86" s="7"/>
      <c r="F86" s="7"/>
      <c r="G86" s="7"/>
      <c r="H86" s="7"/>
    </row>
    <row r="87" spans="1:8" x14ac:dyDescent="0.2">
      <c r="A87" s="9"/>
      <c r="B87" s="7"/>
      <c r="C87" s="7"/>
      <c r="D87" s="7"/>
      <c r="E87" s="7"/>
      <c r="F87" s="7"/>
      <c r="G87" s="7"/>
      <c r="H87" s="7"/>
    </row>
    <row r="88" spans="1:8" x14ac:dyDescent="0.2">
      <c r="A88" s="9"/>
      <c r="B88" s="7"/>
      <c r="C88" s="7"/>
      <c r="D88" s="7"/>
      <c r="E88" s="7"/>
      <c r="F88" s="7"/>
      <c r="G88" s="7"/>
      <c r="H88" s="7"/>
    </row>
    <row r="89" spans="1:8" x14ac:dyDescent="0.2">
      <c r="A89" s="9"/>
      <c r="B89" s="7"/>
      <c r="C89" s="7"/>
      <c r="D89" s="7"/>
      <c r="E89" s="7"/>
      <c r="F89" s="7"/>
      <c r="G89" s="7"/>
      <c r="H89" s="7"/>
    </row>
    <row r="90" spans="1:8" x14ac:dyDescent="0.2">
      <c r="A90" s="9"/>
      <c r="B90" s="7"/>
      <c r="C90" s="7"/>
      <c r="D90" s="7"/>
      <c r="E90" s="7"/>
      <c r="F90" s="7"/>
      <c r="G90" s="7"/>
      <c r="H90" s="7"/>
    </row>
    <row r="91" spans="1:8" x14ac:dyDescent="0.2">
      <c r="A91" s="9"/>
      <c r="B91" s="7"/>
      <c r="C91" s="7"/>
      <c r="D91" s="7"/>
      <c r="E91" s="7"/>
      <c r="F91" s="7"/>
      <c r="G91" s="7"/>
      <c r="H91" s="7"/>
    </row>
    <row r="92" spans="1:8" x14ac:dyDescent="0.2">
      <c r="A92" s="9"/>
      <c r="B92" s="7"/>
      <c r="C92" s="7"/>
      <c r="D92" s="7"/>
      <c r="E92" s="7"/>
      <c r="F92" s="7"/>
      <c r="G92" s="7"/>
      <c r="H92" s="7"/>
    </row>
    <row r="93" spans="1:8" x14ac:dyDescent="0.2">
      <c r="A93" s="9"/>
      <c r="B93" s="7"/>
      <c r="C93" s="7"/>
      <c r="D93" s="7"/>
      <c r="E93" s="7"/>
      <c r="F93" s="7"/>
      <c r="G93" s="7"/>
      <c r="H93" s="7"/>
    </row>
    <row r="94" spans="1:8" x14ac:dyDescent="0.2">
      <c r="A94" s="9"/>
      <c r="B94" s="7"/>
      <c r="C94" s="7"/>
      <c r="D94" s="7"/>
      <c r="E94" s="7"/>
      <c r="F94" s="7"/>
      <c r="G94" s="7"/>
      <c r="H94" s="7"/>
    </row>
    <row r="95" spans="1:8" x14ac:dyDescent="0.2">
      <c r="A95" s="9"/>
      <c r="B95" s="7"/>
      <c r="C95" s="7"/>
      <c r="D95" s="7"/>
      <c r="E95" s="7"/>
      <c r="F95" s="7"/>
      <c r="G95" s="7"/>
      <c r="H95" s="7"/>
    </row>
    <row r="96" spans="1:8" x14ac:dyDescent="0.2">
      <c r="A96" s="9"/>
      <c r="B96" s="7"/>
      <c r="C96" s="7"/>
      <c r="D96" s="7"/>
      <c r="E96" s="7"/>
      <c r="F96" s="7"/>
      <c r="G96" s="7"/>
      <c r="H96" s="7"/>
    </row>
    <row r="97" spans="1:8" x14ac:dyDescent="0.2">
      <c r="A97" s="9"/>
      <c r="B97" s="7"/>
      <c r="C97" s="7"/>
      <c r="D97" s="7"/>
      <c r="E97" s="7"/>
      <c r="F97" s="7"/>
      <c r="G97" s="7"/>
      <c r="H97" s="7"/>
    </row>
    <row r="98" spans="1:8" x14ac:dyDescent="0.2">
      <c r="A98" s="9"/>
      <c r="B98" s="7"/>
      <c r="C98" s="7"/>
      <c r="D98" s="7"/>
      <c r="E98" s="7"/>
      <c r="F98" s="7"/>
      <c r="G98" s="7"/>
      <c r="H98" s="7"/>
    </row>
    <row r="99" spans="1:8" x14ac:dyDescent="0.2">
      <c r="A99" s="9"/>
      <c r="B99" s="7"/>
      <c r="C99" s="7"/>
      <c r="D99" s="7"/>
      <c r="E99" s="7"/>
      <c r="F99" s="7"/>
      <c r="G99" s="7"/>
      <c r="H99" s="7"/>
    </row>
    <row r="100" spans="1:8" x14ac:dyDescent="0.2">
      <c r="A100" s="9"/>
      <c r="B100" s="7"/>
      <c r="C100" s="7"/>
      <c r="D100" s="7"/>
      <c r="E100" s="7"/>
      <c r="F100" s="7"/>
      <c r="G100" s="7"/>
      <c r="H100" s="7"/>
    </row>
    <row r="101" spans="1:8" x14ac:dyDescent="0.2">
      <c r="A101" s="9"/>
      <c r="B101" s="7"/>
      <c r="C101" s="7"/>
      <c r="D101" s="7"/>
      <c r="E101" s="7"/>
      <c r="F101" s="7"/>
      <c r="G101" s="7"/>
      <c r="H101" s="7"/>
    </row>
    <row r="102" spans="1:8" x14ac:dyDescent="0.2">
      <c r="A102" s="9"/>
      <c r="B102" s="7"/>
      <c r="C102" s="7"/>
      <c r="D102" s="7"/>
      <c r="E102" s="7"/>
      <c r="F102" s="7"/>
      <c r="G102" s="7"/>
      <c r="H102" s="7"/>
    </row>
    <row r="103" spans="1:8" x14ac:dyDescent="0.2">
      <c r="A103" s="9"/>
      <c r="B103" s="7"/>
      <c r="C103" s="7"/>
      <c r="D103" s="7"/>
      <c r="E103" s="7"/>
      <c r="F103" s="7"/>
      <c r="G103" s="7"/>
      <c r="H103" s="7"/>
    </row>
    <row r="104" spans="1:8" x14ac:dyDescent="0.2">
      <c r="A104" s="9"/>
      <c r="B104" s="7"/>
      <c r="C104" s="7"/>
      <c r="D104" s="7"/>
      <c r="E104" s="7"/>
      <c r="F104" s="7"/>
      <c r="G104" s="7"/>
      <c r="H104" s="7"/>
    </row>
    <row r="105" spans="1:8" x14ac:dyDescent="0.2">
      <c r="A105" s="9"/>
      <c r="B105" s="7"/>
      <c r="C105" s="7"/>
      <c r="D105" s="7"/>
      <c r="E105" s="7"/>
      <c r="F105" s="7"/>
      <c r="G105" s="7"/>
      <c r="H105" s="7"/>
    </row>
    <row r="106" spans="1:8" x14ac:dyDescent="0.2">
      <c r="A106" s="9"/>
      <c r="B106" s="7"/>
      <c r="C106" s="7"/>
      <c r="D106" s="7"/>
      <c r="E106" s="7"/>
      <c r="F106" s="7"/>
      <c r="G106" s="7"/>
      <c r="H106" s="7"/>
    </row>
    <row r="107" spans="1:8" x14ac:dyDescent="0.2">
      <c r="A107" s="9"/>
      <c r="B107" s="7"/>
      <c r="C107" s="7"/>
      <c r="D107" s="7"/>
      <c r="E107" s="7"/>
      <c r="F107" s="7"/>
      <c r="G107" s="7"/>
      <c r="H107" s="7"/>
    </row>
    <row r="108" spans="1:8" x14ac:dyDescent="0.2">
      <c r="A108" s="9"/>
      <c r="B108" s="7"/>
      <c r="C108" s="7"/>
      <c r="D108" s="7"/>
      <c r="E108" s="7"/>
      <c r="F108" s="7"/>
      <c r="G108" s="7"/>
      <c r="H108" s="7"/>
    </row>
    <row r="109" spans="1:8" x14ac:dyDescent="0.2">
      <c r="A109" s="9"/>
      <c r="B109" s="7"/>
      <c r="C109" s="7"/>
      <c r="D109" s="7"/>
      <c r="E109" s="7"/>
      <c r="F109" s="7"/>
      <c r="G109" s="7"/>
      <c r="H109" s="7"/>
    </row>
    <row r="110" spans="1:8" x14ac:dyDescent="0.2">
      <c r="A110" s="9"/>
      <c r="B110" s="7"/>
      <c r="C110" s="7"/>
      <c r="D110" s="7"/>
      <c r="E110" s="7"/>
      <c r="F110" s="7"/>
      <c r="G110" s="7"/>
      <c r="H110" s="7"/>
    </row>
    <row r="111" spans="1:8" x14ac:dyDescent="0.2">
      <c r="A111" s="9"/>
      <c r="B111" s="7"/>
      <c r="C111" s="7"/>
      <c r="D111" s="7"/>
      <c r="E111" s="7"/>
      <c r="F111" s="7"/>
      <c r="G111" s="7"/>
      <c r="H111" s="7"/>
    </row>
    <row r="112" spans="1:8" x14ac:dyDescent="0.2">
      <c r="A112" s="9"/>
      <c r="B112" s="7"/>
      <c r="C112" s="7"/>
      <c r="D112" s="7"/>
      <c r="E112" s="7"/>
      <c r="F112" s="7"/>
      <c r="G112" s="7"/>
      <c r="H112" s="7"/>
    </row>
    <row r="113" spans="1:8" x14ac:dyDescent="0.2">
      <c r="A113" s="9"/>
      <c r="B113" s="7"/>
      <c r="C113" s="7"/>
      <c r="D113" s="7"/>
      <c r="E113" s="7"/>
      <c r="F113" s="7"/>
      <c r="G113" s="7"/>
      <c r="H113" s="7"/>
    </row>
    <row r="114" spans="1:8" x14ac:dyDescent="0.2">
      <c r="A114" s="9"/>
      <c r="B114" s="7"/>
      <c r="C114" s="7"/>
      <c r="D114" s="7"/>
      <c r="E114" s="7"/>
      <c r="F114" s="7"/>
      <c r="G114" s="7"/>
      <c r="H114" s="7"/>
    </row>
    <row r="115" spans="1:8" x14ac:dyDescent="0.2">
      <c r="A115" s="9"/>
      <c r="B115" s="7"/>
      <c r="C115" s="7"/>
      <c r="D115" s="7"/>
      <c r="E115" s="7"/>
      <c r="F115" s="7"/>
      <c r="G115" s="7"/>
      <c r="H115" s="7"/>
    </row>
    <row r="116" spans="1:8" x14ac:dyDescent="0.2">
      <c r="A116" s="9"/>
      <c r="B116" s="7"/>
      <c r="C116" s="7"/>
      <c r="D116" s="7"/>
      <c r="E116" s="7"/>
      <c r="F116" s="7"/>
      <c r="G116" s="7"/>
      <c r="H116" s="7"/>
    </row>
    <row r="117" spans="1:8" x14ac:dyDescent="0.2">
      <c r="A117" s="9"/>
      <c r="B117" s="7"/>
      <c r="C117" s="7"/>
      <c r="D117" s="7"/>
      <c r="E117" s="7"/>
      <c r="F117" s="7"/>
      <c r="G117" s="7"/>
      <c r="H117" s="7"/>
    </row>
    <row r="118" spans="1:8" x14ac:dyDescent="0.2">
      <c r="A118" s="9"/>
      <c r="B118" s="7"/>
      <c r="C118" s="7"/>
      <c r="D118" s="7"/>
      <c r="E118" s="7"/>
      <c r="F118" s="7"/>
      <c r="G118" s="7"/>
      <c r="H118" s="7"/>
    </row>
    <row r="119" spans="1:8" x14ac:dyDescent="0.2">
      <c r="A119" s="9"/>
      <c r="B119" s="7"/>
      <c r="C119" s="7"/>
      <c r="D119" s="7"/>
      <c r="E119" s="7"/>
      <c r="F119" s="7"/>
      <c r="G119" s="7"/>
      <c r="H119" s="7"/>
    </row>
    <row r="120" spans="1:8" x14ac:dyDescent="0.2">
      <c r="A120" s="9"/>
      <c r="B120" s="7"/>
      <c r="C120" s="7"/>
      <c r="D120" s="7"/>
      <c r="E120" s="7"/>
      <c r="F120" s="7"/>
      <c r="G120" s="7"/>
      <c r="H120" s="7"/>
    </row>
    <row r="121" spans="1:8" x14ac:dyDescent="0.2">
      <c r="A121" s="9"/>
      <c r="B121" s="7"/>
      <c r="C121" s="7"/>
      <c r="D121" s="7"/>
      <c r="E121" s="7"/>
      <c r="F121" s="7"/>
      <c r="G121" s="7"/>
      <c r="H121" s="7"/>
    </row>
    <row r="122" spans="1:8" x14ac:dyDescent="0.2">
      <c r="A122" s="9"/>
      <c r="B122" s="7"/>
      <c r="C122" s="7"/>
      <c r="D122" s="7"/>
      <c r="E122" s="7"/>
      <c r="F122" s="7"/>
      <c r="G122" s="7"/>
      <c r="H122" s="7"/>
    </row>
    <row r="123" spans="1:8" x14ac:dyDescent="0.2">
      <c r="A123" s="9"/>
      <c r="B123" s="7"/>
      <c r="C123" s="7"/>
      <c r="D123" s="7"/>
      <c r="E123" s="7"/>
      <c r="F123" s="7"/>
      <c r="G123" s="7"/>
      <c r="H123" s="7"/>
    </row>
    <row r="124" spans="1:8" x14ac:dyDescent="0.2">
      <c r="A124" s="9"/>
      <c r="B124" s="7"/>
      <c r="C124" s="7"/>
      <c r="D124" s="7"/>
      <c r="E124" s="7"/>
      <c r="F124" s="7"/>
      <c r="G124" s="7"/>
      <c r="H124" s="7"/>
    </row>
    <row r="125" spans="1:8" x14ac:dyDescent="0.2">
      <c r="A125" s="9"/>
      <c r="B125" s="7"/>
      <c r="C125" s="7"/>
      <c r="D125" s="7"/>
      <c r="E125" s="7"/>
      <c r="F125" s="7"/>
      <c r="G125" s="7"/>
      <c r="H125" s="7"/>
    </row>
    <row r="126" spans="1:8" x14ac:dyDescent="0.2">
      <c r="A126" s="9"/>
      <c r="B126" s="7"/>
      <c r="C126" s="7"/>
      <c r="D126" s="7"/>
      <c r="E126" s="7"/>
      <c r="F126" s="7"/>
      <c r="G126" s="7"/>
      <c r="H126" s="7"/>
    </row>
    <row r="127" spans="1:8" x14ac:dyDescent="0.2">
      <c r="A127" s="9"/>
      <c r="B127" s="7"/>
      <c r="C127" s="7"/>
      <c r="D127" s="7"/>
      <c r="E127" s="7"/>
      <c r="F127" s="7"/>
      <c r="G127" s="7"/>
      <c r="H127" s="7"/>
    </row>
    <row r="128" spans="1:8" x14ac:dyDescent="0.2">
      <c r="A128" s="9"/>
      <c r="B128" s="7"/>
      <c r="C128" s="7"/>
      <c r="D128" s="7"/>
      <c r="E128" s="7"/>
      <c r="F128" s="7"/>
      <c r="G128" s="7"/>
      <c r="H128" s="7"/>
    </row>
    <row r="129" spans="1:8" x14ac:dyDescent="0.2">
      <c r="A129" s="9"/>
      <c r="B129" s="7"/>
      <c r="C129" s="7"/>
      <c r="D129" s="7"/>
      <c r="E129" s="7"/>
      <c r="F129" s="7"/>
      <c r="G129" s="7"/>
      <c r="H129" s="7"/>
    </row>
    <row r="130" spans="1:8" x14ac:dyDescent="0.2">
      <c r="A130" s="9"/>
      <c r="B130" s="7"/>
      <c r="C130" s="7"/>
      <c r="D130" s="7"/>
      <c r="E130" s="7"/>
      <c r="F130" s="7"/>
      <c r="G130" s="7"/>
      <c r="H130" s="7"/>
    </row>
    <row r="131" spans="1:8" x14ac:dyDescent="0.2">
      <c r="A131" s="9"/>
      <c r="B131" s="7"/>
      <c r="C131" s="7"/>
      <c r="D131" s="7"/>
      <c r="E131" s="7"/>
      <c r="F131" s="7"/>
      <c r="G131" s="7"/>
      <c r="H131" s="7"/>
    </row>
    <row r="132" spans="1:8" x14ac:dyDescent="0.2">
      <c r="A132" s="9"/>
      <c r="B132" s="7"/>
      <c r="C132" s="7"/>
      <c r="D132" s="7"/>
      <c r="E132" s="7"/>
      <c r="F132" s="7"/>
      <c r="G132" s="7"/>
      <c r="H132" s="7"/>
    </row>
    <row r="133" spans="1:8" x14ac:dyDescent="0.2">
      <c r="A133" s="9"/>
      <c r="B133" s="7"/>
      <c r="C133" s="7"/>
      <c r="D133" s="7"/>
      <c r="E133" s="7"/>
      <c r="F133" s="7"/>
      <c r="G133" s="7"/>
      <c r="H133" s="7"/>
    </row>
    <row r="134" spans="1:8" x14ac:dyDescent="0.2">
      <c r="A134" s="9"/>
      <c r="B134" s="7"/>
      <c r="C134" s="7"/>
      <c r="D134" s="7"/>
      <c r="E134" s="7"/>
      <c r="F134" s="7"/>
      <c r="G134" s="7"/>
      <c r="H134" s="7"/>
    </row>
    <row r="135" spans="1:8" x14ac:dyDescent="0.2">
      <c r="A135" s="9"/>
      <c r="B135" s="7"/>
      <c r="C135" s="7"/>
      <c r="D135" s="7"/>
      <c r="E135" s="7"/>
      <c r="F135" s="7"/>
      <c r="G135" s="7"/>
      <c r="H135" s="7"/>
    </row>
    <row r="136" spans="1:8" x14ac:dyDescent="0.2">
      <c r="A136" s="9"/>
      <c r="B136" s="7"/>
      <c r="C136" s="7"/>
      <c r="D136" s="7"/>
      <c r="E136" s="7"/>
      <c r="F136" s="7"/>
      <c r="G136" s="7"/>
      <c r="H136" s="7"/>
    </row>
    <row r="137" spans="1:8" x14ac:dyDescent="0.2">
      <c r="A137" s="9"/>
      <c r="B137" s="7"/>
      <c r="C137" s="7"/>
      <c r="D137" s="7"/>
      <c r="E137" s="7"/>
      <c r="F137" s="7"/>
      <c r="G137" s="7"/>
      <c r="H137" s="7"/>
    </row>
    <row r="138" spans="1:8" x14ac:dyDescent="0.2">
      <c r="A138" s="9"/>
      <c r="B138" s="7"/>
      <c r="C138" s="7"/>
      <c r="D138" s="7"/>
      <c r="E138" s="7"/>
      <c r="F138" s="7"/>
      <c r="G138" s="7"/>
      <c r="H138" s="7"/>
    </row>
    <row r="139" spans="1:8" x14ac:dyDescent="0.2">
      <c r="A139" s="9"/>
      <c r="B139" s="7"/>
      <c r="C139" s="7"/>
      <c r="D139" s="7"/>
      <c r="E139" s="7"/>
      <c r="F139" s="7"/>
      <c r="G139" s="7"/>
      <c r="H139" s="7"/>
    </row>
    <row r="140" spans="1:8" x14ac:dyDescent="0.2">
      <c r="A140" s="9"/>
      <c r="B140" s="7"/>
      <c r="C140" s="7"/>
      <c r="D140" s="7"/>
      <c r="E140" s="7"/>
      <c r="F140" s="7"/>
      <c r="G140" s="7"/>
      <c r="H140" s="7"/>
    </row>
    <row r="141" spans="1:8" x14ac:dyDescent="0.2">
      <c r="A141" s="9"/>
      <c r="B141" s="7"/>
      <c r="C141" s="7"/>
      <c r="D141" s="7"/>
      <c r="E141" s="7"/>
      <c r="F141" s="7"/>
      <c r="G141" s="7"/>
      <c r="H141" s="7"/>
    </row>
    <row r="142" spans="1:8" x14ac:dyDescent="0.2">
      <c r="A142" s="9"/>
      <c r="B142" s="7"/>
      <c r="C142" s="7"/>
      <c r="D142" s="7"/>
      <c r="E142" s="7"/>
      <c r="F142" s="7"/>
      <c r="G142" s="7"/>
      <c r="H142" s="7"/>
    </row>
    <row r="143" spans="1:8" x14ac:dyDescent="0.2">
      <c r="A143" s="9"/>
      <c r="B143" s="7"/>
      <c r="C143" s="7"/>
      <c r="D143" s="7"/>
      <c r="E143" s="7"/>
      <c r="F143" s="7"/>
      <c r="G143" s="7"/>
      <c r="H143" s="7"/>
    </row>
    <row r="144" spans="1:8" x14ac:dyDescent="0.2">
      <c r="A144" s="9"/>
      <c r="B144" s="7"/>
      <c r="C144" s="7"/>
      <c r="D144" s="7"/>
      <c r="E144" s="7"/>
      <c r="F144" s="7"/>
      <c r="G144" s="7"/>
      <c r="H144" s="7"/>
    </row>
    <row r="145" spans="1:8" x14ac:dyDescent="0.2">
      <c r="A145" s="9"/>
      <c r="B145" s="7"/>
      <c r="C145" s="7"/>
      <c r="D145" s="7"/>
      <c r="E145" s="7"/>
      <c r="F145" s="7"/>
      <c r="G145" s="7"/>
      <c r="H145" s="7"/>
    </row>
    <row r="146" spans="1:8" x14ac:dyDescent="0.2">
      <c r="A146" s="9"/>
      <c r="B146" s="7"/>
      <c r="C146" s="7"/>
      <c r="D146" s="7"/>
      <c r="E146" s="7"/>
      <c r="F146" s="7"/>
      <c r="G146" s="7"/>
      <c r="H146" s="7"/>
    </row>
    <row r="147" spans="1:8" x14ac:dyDescent="0.2">
      <c r="A147" s="9"/>
      <c r="B147" s="7"/>
      <c r="C147" s="7"/>
      <c r="D147" s="7"/>
      <c r="E147" s="7"/>
      <c r="F147" s="7"/>
      <c r="G147" s="7"/>
      <c r="H147" s="7"/>
    </row>
    <row r="148" spans="1:8" x14ac:dyDescent="0.2">
      <c r="A148" s="9"/>
      <c r="B148" s="7"/>
      <c r="C148" s="7"/>
      <c r="D148" s="7"/>
      <c r="E148" s="7"/>
      <c r="F148" s="7"/>
      <c r="G148" s="7"/>
      <c r="H148" s="7"/>
    </row>
    <row r="149" spans="1:8" x14ac:dyDescent="0.2">
      <c r="A149" s="9"/>
      <c r="B149" s="7"/>
      <c r="C149" s="7"/>
      <c r="D149" s="7"/>
      <c r="E149" s="7"/>
      <c r="F149" s="7"/>
      <c r="G149" s="7"/>
      <c r="H149" s="7"/>
    </row>
    <row r="150" spans="1:8" x14ac:dyDescent="0.2">
      <c r="A150" s="9"/>
      <c r="B150" s="7"/>
      <c r="C150" s="7"/>
      <c r="D150" s="7"/>
      <c r="E150" s="7"/>
      <c r="F150" s="7"/>
      <c r="G150" s="7"/>
      <c r="H150" s="7"/>
    </row>
    <row r="151" spans="1:8" x14ac:dyDescent="0.2">
      <c r="A151" s="9"/>
      <c r="B151" s="7"/>
      <c r="C151" s="7"/>
      <c r="D151" s="7"/>
      <c r="E151" s="7"/>
      <c r="F151" s="7"/>
      <c r="G151" s="7"/>
      <c r="H151" s="7"/>
    </row>
    <row r="152" spans="1:8" x14ac:dyDescent="0.2">
      <c r="A152" s="9"/>
      <c r="B152" s="7"/>
      <c r="C152" s="7"/>
      <c r="D152" s="7"/>
      <c r="E152" s="7"/>
      <c r="F152" s="7"/>
      <c r="G152" s="7"/>
      <c r="H152" s="7"/>
    </row>
    <row r="153" spans="1:8" x14ac:dyDescent="0.2">
      <c r="A153" s="9"/>
      <c r="B153" s="7"/>
      <c r="C153" s="7"/>
      <c r="D153" s="7"/>
      <c r="E153" s="7"/>
      <c r="F153" s="7"/>
      <c r="G153" s="7"/>
      <c r="H153" s="7"/>
    </row>
    <row r="154" spans="1:8" x14ac:dyDescent="0.2">
      <c r="A154" s="9"/>
      <c r="B154" s="7"/>
      <c r="C154" s="7"/>
      <c r="D154" s="7"/>
      <c r="E154" s="7"/>
      <c r="F154" s="7"/>
      <c r="G154" s="7"/>
      <c r="H154" s="7"/>
    </row>
    <row r="155" spans="1:8" x14ac:dyDescent="0.2">
      <c r="A155" s="9"/>
      <c r="B155" s="7"/>
      <c r="C155" s="7"/>
      <c r="D155" s="7"/>
      <c r="E155" s="7"/>
      <c r="F155" s="7"/>
      <c r="G155" s="7"/>
      <c r="H155" s="7"/>
    </row>
    <row r="156" spans="1:8" x14ac:dyDescent="0.2">
      <c r="A156" s="9"/>
      <c r="B156" s="7"/>
      <c r="C156" s="7"/>
      <c r="D156" s="7"/>
      <c r="E156" s="7"/>
      <c r="F156" s="7"/>
      <c r="G156" s="7"/>
      <c r="H156" s="7"/>
    </row>
    <row r="157" spans="1:8" x14ac:dyDescent="0.2">
      <c r="A157" s="9"/>
      <c r="B157" s="7"/>
      <c r="C157" s="7"/>
      <c r="D157" s="7"/>
      <c r="E157" s="7"/>
      <c r="F157" s="7"/>
      <c r="G157" s="7"/>
      <c r="H157" s="7"/>
    </row>
    <row r="158" spans="1:8" x14ac:dyDescent="0.2">
      <c r="A158" s="9"/>
      <c r="B158" s="7"/>
      <c r="C158" s="7"/>
      <c r="D158" s="7"/>
      <c r="E158" s="7"/>
      <c r="F158" s="7"/>
      <c r="G158" s="7"/>
      <c r="H158" s="7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F11" sqref="F11"/>
      <pageMargins left="0" right="0" top="0" bottom="0" header="0" footer="0"/>
      <printOptions gridLines="1"/>
      <pageSetup paperSize="9" scale="75" orientation="landscape" r:id="rId1"/>
      <headerFooter alignWithMargins="0">
        <oddHeader xml:space="preserve">&amp;C
2019. ...04...hó 22-28....-ig     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C15" sqref="C15"/>
      <pageMargins left="0" right="0" top="0" bottom="0" header="0" footer="0"/>
      <printOptions gridLines="1"/>
      <pageSetup paperSize="9" scale="75" orientation="landscape" r:id="rId2"/>
      <headerFooter alignWithMargins="0">
        <oddHeader xml:space="preserve">&amp;C
2019. .............hó...............-ig     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F11" sqref="F11"/>
      <pageMargins left="0" right="0" top="0" bottom="0" header="0" footer="0"/>
      <printOptions gridLines="1"/>
      <pageSetup paperSize="9" scale="75" orientation="landscape" r:id="rId3"/>
      <headerFooter alignWithMargins="0">
        <oddHeader xml:space="preserve">&amp;C
2019. ...04...hó 22-28....-ig     </oddHeader>
      </headerFooter>
    </customSheetView>
    <customSheetView guid="{4B58F0A9-071E-4376-B7AD-463366669E19}" scale="80">
      <pane ySplit="1" topLeftCell="A2" activePane="bottomLeft" state="frozen"/>
      <selection pane="bottomLeft" activeCell="F11" sqref="F11"/>
      <pageMargins left="0" right="0" top="0" bottom="0" header="0" footer="0"/>
      <printOptions gridLines="1"/>
      <pageSetup paperSize="9" scale="75" orientation="landscape" r:id="rId4"/>
      <headerFooter alignWithMargins="0">
        <oddHeader xml:space="preserve">&amp;C
2019. ...04...hó 22-28....-ig     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F11" sqref="F11"/>
      <pageMargins left="0" right="0" top="0" bottom="0" header="0" footer="0"/>
      <printOptions gridLines="1"/>
      <pageSetup paperSize="9" scale="75" orientation="landscape" r:id="rId5"/>
      <headerFooter alignWithMargins="0">
        <oddHeader xml:space="preserve">&amp;C
2019. ...04...hó 22-28....-ig     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H32" sqref="H32"/>
      <pageMargins left="0" right="0" top="0" bottom="0" header="0" footer="0"/>
      <printOptions gridLines="1"/>
      <pageSetup paperSize="8" scale="95" orientation="landscape" r:id="rId6"/>
      <headerFooter alignWithMargins="0">
        <oddHeader xml:space="preserve">&amp;C
2019. .............hó...............-ig     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A5" sqref="A5:A8"/>
      <pageMargins left="0" right="0" top="0" bottom="0" header="0" footer="0"/>
      <printOptions gridLines="1"/>
      <pageSetup paperSize="8" scale="95" orientation="landscape" r:id="rId7"/>
      <headerFooter alignWithMargins="0">
        <oddHeader xml:space="preserve">&amp;C
2019. .............hó...............-ig     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37" sqref="E37"/>
      <pageMargins left="0" right="0" top="0" bottom="0" header="0" footer="0"/>
      <printOptions gridLines="1"/>
      <pageSetup paperSize="8" scale="95" orientation="landscape" r:id="rId8"/>
      <headerFooter alignWithMargins="0">
        <oddHeader xml:space="preserve">&amp;C
2019. .............hó...............-ig     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F11" sqref="F11"/>
      <pageMargins left="0" right="0" top="0" bottom="0" header="0" footer="0"/>
      <printOptions gridLines="1"/>
      <pageSetup paperSize="9" scale="75" orientation="landscape" r:id="rId9"/>
      <headerFooter alignWithMargins="0">
        <oddHeader xml:space="preserve">&amp;C
2019. ...04...hó 22-28....-ig     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H32" sqref="H32"/>
      <pageMargins left="0" right="0" top="0" bottom="0" header="0" footer="0"/>
      <printOptions gridLines="1"/>
      <pageSetup paperSize="8" scale="95" orientation="landscape" r:id="rId10"/>
      <headerFooter alignWithMargins="0">
        <oddHeader xml:space="preserve">&amp;C
2019. .............hó...............-ig     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F5" sqref="F5"/>
      <pageMargins left="0" right="0" top="0" bottom="0" header="0" footer="0"/>
      <printOptions gridLines="1"/>
      <pageSetup paperSize="9" scale="75" orientation="landscape" r:id="rId11"/>
      <headerFooter alignWithMargins="0">
        <oddHeader xml:space="preserve">&amp;C
2019. .............hó...............-ig     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F11" sqref="F11"/>
      <pageMargins left="0" right="0" top="0" bottom="0" header="0" footer="0"/>
      <printOptions gridLines="1"/>
      <pageSetup paperSize="9" scale="75" orientation="landscape" r:id="rId12"/>
      <headerFooter alignWithMargins="0">
        <oddHeader xml:space="preserve">&amp;C
2019. ...04...hó 22-28....-ig     </oddHeader>
      </headerFooter>
    </customSheetView>
  </customSheetViews>
  <printOptions gridLines="1"/>
  <pageMargins left="0.51181102362204722" right="0.11811023622047245" top="0.78740157480314965" bottom="0.55118110236220474" header="0.31496062992125984" footer="0.31496062992125984"/>
  <pageSetup paperSize="9" scale="75" orientation="landscape" r:id="rId13"/>
  <headerFooter alignWithMargins="0">
    <oddHeader xml:space="preserve">&amp;C
2019. ...04...hó 22-28....-ig    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Munka5"/>
  <dimension ref="A1:J140"/>
  <sheetViews>
    <sheetView zoomScale="80" zoomScaleNormal="80" zoomScaleSheetLayoutView="40" workbookViewId="0">
      <pane ySplit="1" topLeftCell="A2" activePane="bottomLeft" state="frozen"/>
      <selection pane="bottomLeft" activeCell="M26" sqref="M26"/>
    </sheetView>
  </sheetViews>
  <sheetFormatPr defaultColWidth="9.140625" defaultRowHeight="12.75" x14ac:dyDescent="0.2"/>
  <cols>
    <col min="1" max="1" width="12.28515625" style="119" customWidth="1"/>
    <col min="2" max="3" width="29.28515625" style="69" customWidth="1"/>
    <col min="4" max="4" width="18.7109375" style="69" customWidth="1"/>
    <col min="5" max="5" width="32.140625" style="69" customWidth="1"/>
    <col min="6" max="6" width="27.140625" style="69" customWidth="1"/>
    <col min="7" max="7" width="17.5703125" style="69" customWidth="1"/>
    <col min="8" max="8" width="16.42578125" style="69" customWidth="1"/>
    <col min="9" max="9" width="30.7109375" style="69" customWidth="1"/>
    <col min="10" max="16384" width="9.140625" style="69"/>
  </cols>
  <sheetData>
    <row r="1" spans="1:10" ht="28.5" customHeight="1" thickTop="1" thickBot="1" x14ac:dyDescent="0.25">
      <c r="A1" s="64" t="s">
        <v>241</v>
      </c>
      <c r="B1" s="65" t="s">
        <v>242</v>
      </c>
      <c r="C1" s="65" t="s">
        <v>243</v>
      </c>
      <c r="D1" s="66" t="s">
        <v>244</v>
      </c>
      <c r="E1" s="65" t="s">
        <v>245</v>
      </c>
      <c r="F1" s="65" t="s">
        <v>246</v>
      </c>
      <c r="G1" s="67" t="s">
        <v>247</v>
      </c>
      <c r="H1" s="67" t="s">
        <v>248</v>
      </c>
      <c r="I1" s="68"/>
    </row>
    <row r="2" spans="1:10" ht="15" customHeight="1" thickBot="1" x14ac:dyDescent="0.25">
      <c r="A2" s="70"/>
      <c r="B2" s="127" t="s">
        <v>249</v>
      </c>
      <c r="C2" s="122" t="s">
        <v>250</v>
      </c>
      <c r="D2" s="72"/>
      <c r="E2" s="147" t="s">
        <v>251</v>
      </c>
      <c r="F2" s="53" t="s">
        <v>252</v>
      </c>
      <c r="G2" s="74"/>
      <c r="H2" s="74"/>
      <c r="I2" s="75"/>
    </row>
    <row r="3" spans="1:10" ht="15" customHeight="1" x14ac:dyDescent="0.2">
      <c r="A3" s="76"/>
      <c r="B3" s="77"/>
      <c r="C3" s="122" t="s">
        <v>253</v>
      </c>
      <c r="D3" s="78"/>
      <c r="E3" s="148" t="s">
        <v>254</v>
      </c>
      <c r="F3" s="129"/>
      <c r="G3" s="80"/>
      <c r="H3" s="80"/>
      <c r="I3" s="75"/>
    </row>
    <row r="4" spans="1:10" ht="15" customHeight="1" x14ac:dyDescent="0.2">
      <c r="A4" s="76" t="s">
        <v>18</v>
      </c>
      <c r="B4" s="77"/>
      <c r="C4" s="77" t="s">
        <v>255</v>
      </c>
      <c r="D4" s="78"/>
      <c r="E4" s="127" t="s">
        <v>256</v>
      </c>
      <c r="F4" s="129"/>
      <c r="G4" s="80"/>
      <c r="H4" s="80"/>
    </row>
    <row r="5" spans="1:10" ht="15" customHeight="1" x14ac:dyDescent="0.2">
      <c r="A5" s="81" t="s">
        <v>19</v>
      </c>
      <c r="B5" s="77"/>
      <c r="C5" s="77" t="s">
        <v>257</v>
      </c>
      <c r="D5" s="78"/>
      <c r="E5" s="127" t="s">
        <v>258</v>
      </c>
      <c r="F5" s="79"/>
      <c r="G5" s="80"/>
      <c r="H5" s="80"/>
    </row>
    <row r="6" spans="1:10" ht="15" customHeight="1" x14ac:dyDescent="0.2">
      <c r="A6" s="82"/>
      <c r="B6" s="83"/>
      <c r="C6" s="83"/>
      <c r="D6" s="84"/>
      <c r="E6" s="83"/>
      <c r="F6" s="85"/>
      <c r="G6" s="86"/>
      <c r="H6" s="86"/>
    </row>
    <row r="7" spans="1:10" ht="15" customHeight="1" thickBot="1" x14ac:dyDescent="0.25">
      <c r="A7" s="87" t="s">
        <v>20</v>
      </c>
      <c r="B7" s="88" t="s">
        <v>52</v>
      </c>
      <c r="C7" s="88" t="s">
        <v>259</v>
      </c>
      <c r="D7" s="89"/>
      <c r="E7" s="88" t="s">
        <v>21</v>
      </c>
      <c r="F7" s="193" t="s">
        <v>260</v>
      </c>
      <c r="G7" s="91"/>
      <c r="H7" s="91"/>
      <c r="J7" s="205"/>
    </row>
    <row r="8" spans="1:10" ht="15" customHeight="1" thickTop="1" x14ac:dyDescent="0.2">
      <c r="A8" s="82"/>
      <c r="B8" s="122" t="s">
        <v>261</v>
      </c>
      <c r="C8" s="13" t="s">
        <v>172</v>
      </c>
      <c r="D8" s="78"/>
      <c r="E8" s="77"/>
      <c r="F8" s="79"/>
      <c r="G8" s="80"/>
      <c r="H8" s="80"/>
    </row>
    <row r="9" spans="1:10" ht="15" customHeight="1" x14ac:dyDescent="0.2">
      <c r="A9" s="82"/>
      <c r="B9" s="17" t="s">
        <v>180</v>
      </c>
      <c r="C9" s="77"/>
      <c r="D9" s="78"/>
      <c r="E9" s="77"/>
      <c r="F9" s="79"/>
      <c r="G9" s="80"/>
      <c r="H9" s="80"/>
    </row>
    <row r="10" spans="1:10" ht="15" customHeight="1" x14ac:dyDescent="0.2">
      <c r="A10" s="92" t="s">
        <v>18</v>
      </c>
      <c r="B10" s="127" t="s">
        <v>262</v>
      </c>
      <c r="C10" s="77"/>
      <c r="D10" s="78"/>
      <c r="E10" s="77"/>
      <c r="F10" s="79"/>
      <c r="G10" s="80"/>
      <c r="H10" s="80"/>
    </row>
    <row r="11" spans="1:10" ht="15" customHeight="1" x14ac:dyDescent="0.2">
      <c r="A11" s="93" t="s">
        <v>30</v>
      </c>
      <c r="B11" s="77" t="s">
        <v>263</v>
      </c>
      <c r="C11" s="77"/>
      <c r="D11" s="78"/>
      <c r="E11" s="77"/>
      <c r="F11" s="79"/>
      <c r="G11" s="80"/>
      <c r="H11" s="80"/>
    </row>
    <row r="12" spans="1:10" ht="15" customHeight="1" x14ac:dyDescent="0.2">
      <c r="A12" s="82"/>
      <c r="B12" s="77"/>
      <c r="C12" s="77"/>
      <c r="D12" s="78"/>
      <c r="E12" s="77"/>
      <c r="F12" s="79"/>
      <c r="G12" s="80"/>
      <c r="H12" s="80"/>
    </row>
    <row r="13" spans="1:10" ht="15" customHeight="1" x14ac:dyDescent="0.2">
      <c r="A13" s="82"/>
      <c r="B13" s="83"/>
      <c r="C13" s="83"/>
      <c r="D13" s="84"/>
      <c r="E13" s="83"/>
      <c r="F13" s="85"/>
      <c r="G13" s="86"/>
      <c r="H13" s="86"/>
    </row>
    <row r="14" spans="1:10" ht="15" customHeight="1" thickBot="1" x14ac:dyDescent="0.25">
      <c r="A14" s="87" t="s">
        <v>20</v>
      </c>
      <c r="B14" s="88" t="s">
        <v>183</v>
      </c>
      <c r="C14" s="88" t="s">
        <v>183</v>
      </c>
      <c r="D14" s="89"/>
      <c r="E14" s="88"/>
      <c r="F14" s="88"/>
      <c r="G14" s="91"/>
      <c r="H14" s="91"/>
    </row>
    <row r="15" spans="1:10" ht="15" customHeight="1" thickTop="1" x14ac:dyDescent="0.2">
      <c r="A15" s="82"/>
      <c r="B15" s="127" t="s">
        <v>264</v>
      </c>
      <c r="C15" s="77" t="s">
        <v>265</v>
      </c>
      <c r="D15" s="78"/>
      <c r="E15" s="127" t="s">
        <v>266</v>
      </c>
      <c r="F15" s="128" t="s">
        <v>267</v>
      </c>
      <c r="G15" s="80"/>
      <c r="H15" s="80"/>
    </row>
    <row r="16" spans="1:10" ht="15" customHeight="1" x14ac:dyDescent="0.2">
      <c r="A16" s="82"/>
      <c r="B16" s="127" t="s">
        <v>268</v>
      </c>
      <c r="C16" s="127" t="s">
        <v>269</v>
      </c>
      <c r="D16" s="78"/>
      <c r="E16" s="127" t="s">
        <v>270</v>
      </c>
      <c r="F16" s="129" t="s">
        <v>271</v>
      </c>
      <c r="G16" s="80"/>
      <c r="H16" s="80"/>
    </row>
    <row r="17" spans="1:8" ht="15" customHeight="1" x14ac:dyDescent="0.2">
      <c r="A17" s="92" t="s">
        <v>41</v>
      </c>
      <c r="B17" s="77"/>
      <c r="C17" s="77" t="s">
        <v>272</v>
      </c>
      <c r="D17" s="78"/>
      <c r="E17" s="77" t="s">
        <v>273</v>
      </c>
      <c r="F17" s="129" t="s">
        <v>274</v>
      </c>
      <c r="G17" s="80"/>
      <c r="H17" s="80"/>
    </row>
    <row r="18" spans="1:8" ht="15" customHeight="1" x14ac:dyDescent="0.2">
      <c r="A18" s="93" t="s">
        <v>43</v>
      </c>
      <c r="B18" s="77"/>
      <c r="C18" s="77"/>
      <c r="D18" s="78"/>
      <c r="E18" s="77"/>
      <c r="F18" s="79"/>
      <c r="G18" s="80"/>
      <c r="H18" s="80"/>
    </row>
    <row r="19" spans="1:8" x14ac:dyDescent="0.2">
      <c r="A19" s="82"/>
      <c r="B19" s="83"/>
      <c r="C19" s="83"/>
      <c r="D19" s="84"/>
      <c r="E19" s="83"/>
      <c r="F19" s="85"/>
      <c r="G19" s="86"/>
      <c r="H19" s="86"/>
    </row>
    <row r="20" spans="1:8" ht="13.5" thickBot="1" x14ac:dyDescent="0.25">
      <c r="A20" s="87" t="s">
        <v>20</v>
      </c>
      <c r="B20" s="88" t="s">
        <v>138</v>
      </c>
      <c r="C20" s="88" t="s">
        <v>275</v>
      </c>
      <c r="D20" s="89"/>
      <c r="E20" s="88" t="s">
        <v>276</v>
      </c>
      <c r="F20" s="193" t="s">
        <v>277</v>
      </c>
      <c r="G20" s="91"/>
      <c r="H20" s="91"/>
    </row>
    <row r="21" spans="1:8" ht="13.5" thickTop="1" x14ac:dyDescent="0.2">
      <c r="A21" s="82"/>
      <c r="B21" s="127" t="s">
        <v>278</v>
      </c>
      <c r="C21" s="127" t="s">
        <v>48</v>
      </c>
      <c r="D21" s="78"/>
      <c r="E21" s="127" t="s">
        <v>48</v>
      </c>
      <c r="F21" s="129" t="s">
        <v>48</v>
      </c>
      <c r="G21" s="80"/>
      <c r="H21" s="80"/>
    </row>
    <row r="22" spans="1:8" x14ac:dyDescent="0.2">
      <c r="A22" s="82"/>
      <c r="B22" s="77" t="s">
        <v>228</v>
      </c>
      <c r="C22" s="77"/>
      <c r="D22" s="78"/>
      <c r="E22" s="77"/>
      <c r="F22" s="79"/>
      <c r="G22" s="80"/>
      <c r="H22" s="80"/>
    </row>
    <row r="23" spans="1:8" x14ac:dyDescent="0.2">
      <c r="A23" s="92" t="s">
        <v>41</v>
      </c>
      <c r="B23" s="77"/>
      <c r="C23" s="77"/>
      <c r="D23" s="78"/>
      <c r="E23" s="77"/>
      <c r="F23" s="79"/>
      <c r="G23" s="80"/>
      <c r="H23" s="80"/>
    </row>
    <row r="24" spans="1:8" x14ac:dyDescent="0.2">
      <c r="A24" s="93" t="s">
        <v>50</v>
      </c>
      <c r="B24" s="77"/>
      <c r="C24" s="77"/>
      <c r="D24" s="78"/>
      <c r="E24" s="77"/>
      <c r="F24" s="79"/>
      <c r="G24" s="80"/>
      <c r="H24" s="80"/>
    </row>
    <row r="25" spans="1:8" x14ac:dyDescent="0.2">
      <c r="A25" s="82"/>
      <c r="B25" s="77"/>
      <c r="C25" s="77"/>
      <c r="D25" s="78"/>
      <c r="E25" s="77"/>
      <c r="F25" s="79"/>
      <c r="G25" s="80"/>
      <c r="H25" s="80"/>
    </row>
    <row r="26" spans="1:8" x14ac:dyDescent="0.2">
      <c r="A26" s="82"/>
      <c r="B26" s="83"/>
      <c r="C26" s="83"/>
      <c r="D26" s="84"/>
      <c r="E26" s="83"/>
      <c r="F26" s="85"/>
      <c r="G26" s="86"/>
      <c r="H26" s="86"/>
    </row>
    <row r="27" spans="1:8" ht="13.5" thickBot="1" x14ac:dyDescent="0.25">
      <c r="A27" s="87" t="s">
        <v>20</v>
      </c>
      <c r="B27" s="88" t="s">
        <v>259</v>
      </c>
      <c r="C27" s="88" t="s">
        <v>52</v>
      </c>
      <c r="D27" s="89"/>
      <c r="E27" s="88" t="s">
        <v>52</v>
      </c>
      <c r="F27" s="193" t="s">
        <v>52</v>
      </c>
      <c r="G27" s="91"/>
      <c r="H27" s="91"/>
    </row>
    <row r="28" spans="1:8" ht="13.5" thickTop="1" x14ac:dyDescent="0.2">
      <c r="A28" s="76"/>
      <c r="B28" s="77"/>
      <c r="C28" s="77"/>
      <c r="D28" s="78"/>
      <c r="E28" s="77"/>
      <c r="F28" s="79"/>
      <c r="G28" s="80"/>
      <c r="H28" s="133"/>
    </row>
    <row r="29" spans="1:8" x14ac:dyDescent="0.2">
      <c r="A29" s="82"/>
      <c r="B29" s="77"/>
      <c r="C29" s="77"/>
      <c r="D29" s="78"/>
      <c r="E29" s="77"/>
      <c r="F29" s="79"/>
      <c r="G29" s="80"/>
      <c r="H29" s="132"/>
    </row>
    <row r="30" spans="1:8" x14ac:dyDescent="0.2">
      <c r="A30" s="92" t="s">
        <v>59</v>
      </c>
      <c r="B30" s="77"/>
      <c r="C30" s="77"/>
      <c r="D30" s="78"/>
      <c r="E30" s="77"/>
      <c r="F30" s="79"/>
      <c r="G30" s="80"/>
      <c r="H30" s="134"/>
    </row>
    <row r="31" spans="1:8" x14ac:dyDescent="0.2">
      <c r="A31" s="93" t="s">
        <v>60</v>
      </c>
      <c r="B31" s="77"/>
      <c r="C31" s="77"/>
      <c r="D31" s="78"/>
      <c r="E31" s="77"/>
      <c r="F31" s="79"/>
      <c r="G31" s="80"/>
      <c r="H31" s="132"/>
    </row>
    <row r="32" spans="1:8" x14ac:dyDescent="0.2">
      <c r="A32" s="92"/>
      <c r="B32" s="77"/>
      <c r="C32" s="77"/>
      <c r="D32" s="78"/>
      <c r="E32" s="77"/>
      <c r="F32" s="79"/>
      <c r="G32" s="80"/>
      <c r="H32" s="132"/>
    </row>
    <row r="33" spans="1:8" x14ac:dyDescent="0.2">
      <c r="A33" s="92"/>
      <c r="B33" s="94"/>
      <c r="C33" s="94"/>
      <c r="D33" s="95"/>
      <c r="E33" s="94"/>
      <c r="F33" s="96"/>
      <c r="G33" s="97"/>
      <c r="H33" s="135"/>
    </row>
    <row r="34" spans="1:8" ht="13.5" thickBot="1" x14ac:dyDescent="0.25">
      <c r="A34" s="87" t="s">
        <v>20</v>
      </c>
      <c r="B34" s="88"/>
      <c r="C34" s="88"/>
      <c r="D34" s="89"/>
      <c r="E34" s="88"/>
      <c r="F34" s="90"/>
      <c r="G34" s="91"/>
      <c r="H34" s="136"/>
    </row>
    <row r="35" spans="1:8" ht="13.5" thickTop="1" x14ac:dyDescent="0.2">
      <c r="A35" s="76"/>
      <c r="B35" s="77"/>
      <c r="C35" s="77"/>
      <c r="D35" s="78"/>
      <c r="E35" s="77"/>
      <c r="F35" s="79"/>
      <c r="G35" s="80"/>
      <c r="H35" s="80"/>
    </row>
    <row r="36" spans="1:8" x14ac:dyDescent="0.2">
      <c r="A36" s="98"/>
      <c r="B36" s="99"/>
      <c r="C36" s="77"/>
      <c r="D36" s="78"/>
      <c r="E36" s="77"/>
      <c r="F36" s="79"/>
      <c r="G36" s="80"/>
      <c r="H36" s="80"/>
    </row>
    <row r="37" spans="1:8" x14ac:dyDescent="0.2">
      <c r="A37" s="92" t="s">
        <v>279</v>
      </c>
      <c r="B37" s="77"/>
      <c r="C37" s="77"/>
      <c r="D37" s="78"/>
      <c r="E37" s="77"/>
      <c r="F37" s="79"/>
      <c r="G37" s="80"/>
      <c r="H37" s="80"/>
    </row>
    <row r="38" spans="1:8" x14ac:dyDescent="0.2">
      <c r="A38" s="93" t="s">
        <v>67</v>
      </c>
      <c r="B38" s="77"/>
      <c r="C38" s="77"/>
      <c r="D38" s="78"/>
      <c r="E38" s="77"/>
      <c r="F38" s="79"/>
      <c r="G38" s="80"/>
      <c r="H38" s="80"/>
    </row>
    <row r="39" spans="1:8" x14ac:dyDescent="0.2">
      <c r="A39" s="92"/>
      <c r="B39" s="83"/>
      <c r="C39" s="83"/>
      <c r="D39" s="84"/>
      <c r="E39" s="83"/>
      <c r="F39" s="85"/>
      <c r="G39" s="86"/>
      <c r="H39" s="86"/>
    </row>
    <row r="40" spans="1:8" ht="13.5" thickBot="1" x14ac:dyDescent="0.25">
      <c r="A40" s="87" t="s">
        <v>20</v>
      </c>
      <c r="B40" s="88"/>
      <c r="C40" s="88"/>
      <c r="D40" s="89"/>
      <c r="E40" s="88"/>
      <c r="F40" s="90"/>
      <c r="G40" s="91"/>
      <c r="H40" s="91"/>
    </row>
    <row r="41" spans="1:8" ht="13.5" thickTop="1" x14ac:dyDescent="0.2">
      <c r="A41" s="76"/>
      <c r="B41" s="100"/>
      <c r="C41" s="100"/>
      <c r="D41" s="101"/>
      <c r="E41" s="100"/>
      <c r="F41" s="102"/>
      <c r="G41" s="103"/>
      <c r="H41" s="103"/>
    </row>
    <row r="42" spans="1:8" x14ac:dyDescent="0.2">
      <c r="A42" s="92" t="s">
        <v>71</v>
      </c>
      <c r="B42" s="100"/>
      <c r="C42" s="100"/>
      <c r="D42" s="101"/>
      <c r="E42" s="100"/>
      <c r="F42" s="102"/>
      <c r="G42" s="103"/>
      <c r="H42" s="103"/>
    </row>
    <row r="43" spans="1:8" x14ac:dyDescent="0.2">
      <c r="A43" s="93" t="s">
        <v>72</v>
      </c>
      <c r="B43" s="104"/>
      <c r="C43" s="104"/>
      <c r="D43" s="105"/>
      <c r="E43" s="104"/>
      <c r="F43" s="106"/>
      <c r="G43" s="107"/>
      <c r="H43" s="107"/>
    </row>
    <row r="44" spans="1:8" ht="13.5" thickBot="1" x14ac:dyDescent="0.25">
      <c r="A44" s="87" t="s">
        <v>20</v>
      </c>
      <c r="B44" s="108"/>
      <c r="C44" s="108"/>
      <c r="D44" s="109"/>
      <c r="E44" s="108"/>
      <c r="F44" s="110"/>
      <c r="G44" s="111"/>
      <c r="H44" s="111"/>
    </row>
    <row r="45" spans="1:8" ht="13.5" thickTop="1" x14ac:dyDescent="0.2">
      <c r="A45" s="112" t="s">
        <v>280</v>
      </c>
      <c r="B45" s="21"/>
      <c r="C45" s="21"/>
      <c r="D45" s="113"/>
      <c r="E45" s="113" t="s">
        <v>154</v>
      </c>
      <c r="F45" s="113" t="s">
        <v>281</v>
      </c>
      <c r="G45" s="113"/>
      <c r="H45" s="113"/>
    </row>
    <row r="46" spans="1:8" x14ac:dyDescent="0.2">
      <c r="A46" s="114" t="s">
        <v>282</v>
      </c>
      <c r="B46" s="20" t="s">
        <v>240</v>
      </c>
      <c r="C46" s="20" t="s">
        <v>240</v>
      </c>
      <c r="D46" s="113"/>
      <c r="E46" s="151" t="s">
        <v>211</v>
      </c>
      <c r="F46" s="151" t="s">
        <v>211</v>
      </c>
      <c r="G46" s="113"/>
      <c r="H46" s="113"/>
    </row>
    <row r="47" spans="1:8" x14ac:dyDescent="0.2">
      <c r="A47" s="115"/>
      <c r="B47" s="113"/>
      <c r="C47" s="113"/>
      <c r="D47" s="113"/>
      <c r="E47" s="113"/>
      <c r="F47" s="113"/>
      <c r="G47" s="113"/>
      <c r="H47" s="113"/>
    </row>
    <row r="48" spans="1:8" ht="13.5" thickBot="1" x14ac:dyDescent="0.25">
      <c r="A48" s="248" t="s">
        <v>75</v>
      </c>
      <c r="B48" s="251" t="s">
        <v>76</v>
      </c>
      <c r="D48" s="113"/>
      <c r="E48" s="113"/>
      <c r="F48" s="113"/>
      <c r="G48" s="113"/>
      <c r="H48" s="113"/>
    </row>
    <row r="49" spans="1:8" ht="26.25" thickTop="1" x14ac:dyDescent="0.2">
      <c r="A49" s="149" t="s">
        <v>283</v>
      </c>
      <c r="B49" s="113"/>
      <c r="C49" s="113"/>
      <c r="D49" s="113"/>
      <c r="E49" s="113"/>
      <c r="F49" s="113"/>
      <c r="G49" s="113"/>
      <c r="H49" s="113"/>
    </row>
    <row r="50" spans="1:8" x14ac:dyDescent="0.2">
      <c r="A50" s="115"/>
      <c r="B50" s="116"/>
      <c r="C50" s="116"/>
      <c r="D50" s="116"/>
      <c r="E50" s="116"/>
      <c r="F50" s="116"/>
      <c r="G50" s="116"/>
      <c r="H50" s="116"/>
    </row>
    <row r="51" spans="1:8" x14ac:dyDescent="0.2">
      <c r="A51" s="117"/>
      <c r="B51" s="116"/>
      <c r="C51" s="116"/>
      <c r="D51" s="116"/>
      <c r="E51" s="116"/>
      <c r="F51" s="116"/>
      <c r="G51" s="116"/>
      <c r="H51" s="116"/>
    </row>
    <row r="52" spans="1:8" x14ac:dyDescent="0.2">
      <c r="A52" s="117"/>
      <c r="B52" s="116"/>
      <c r="C52" s="116"/>
      <c r="D52" s="116"/>
      <c r="E52" s="116"/>
      <c r="F52" s="116"/>
      <c r="G52" s="116"/>
      <c r="H52" s="116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5"/>
      <c r="B59" s="118"/>
      <c r="C59" s="118"/>
      <c r="D59" s="118"/>
      <c r="E59" s="118"/>
      <c r="F59" s="118"/>
      <c r="G59" s="118"/>
      <c r="H59" s="118"/>
    </row>
    <row r="60" spans="1:8" x14ac:dyDescent="0.2">
      <c r="A60" s="117"/>
      <c r="B60" s="118"/>
      <c r="C60" s="118"/>
      <c r="D60" s="118"/>
      <c r="E60" s="118"/>
      <c r="F60" s="118"/>
      <c r="G60" s="118"/>
      <c r="H60" s="118"/>
    </row>
    <row r="61" spans="1:8" x14ac:dyDescent="0.2">
      <c r="A61" s="117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M26" sqref="M26"/>
      <pageMargins left="0" right="0" top="0" bottom="0" header="0" footer="0"/>
      <printOptions gridLines="1"/>
      <pageSetup paperSize="8" scale="95" orientation="landscape" r:id="rId1"/>
      <headerFooter alignWithMargins="0">
        <oddHeader>&amp;C2019.04.29-05.05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E14" sqref="E14"/>
      <pageMargins left="0" right="0" top="0" bottom="0" header="0" footer="0"/>
      <printOptions gridLines="1"/>
      <pageSetup paperSize="8" scale="95" orientation="landscape" r:id="rId2"/>
      <headerFooter alignWithMargins="0">
        <oddHeader>&amp;C2019.04.29-05.05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M26" sqref="M26"/>
      <pageMargins left="0" right="0" top="0" bottom="0" header="0" footer="0"/>
      <printOptions gridLines="1"/>
      <pageSetup paperSize="8" scale="95" orientation="landscape" r:id="rId3"/>
      <headerFooter alignWithMargins="0">
        <oddHeader>&amp;C2019.04.29-05.05</oddHeader>
      </headerFooter>
    </customSheetView>
    <customSheetView guid="{4B58F0A9-071E-4376-B7AD-463366669E19}" scale="80">
      <pane ySplit="1" topLeftCell="A2" activePane="bottomLeft" state="frozen"/>
      <selection pane="bottomLeft" activeCell="M26" sqref="M26"/>
      <pageMargins left="0" right="0" top="0" bottom="0" header="0" footer="0"/>
      <printOptions gridLines="1"/>
      <pageSetup paperSize="8" scale="95" orientation="landscape" r:id="rId4"/>
      <headerFooter alignWithMargins="0">
        <oddHeader>&amp;C2019.04.29-05.05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M26" sqref="M26"/>
      <pageMargins left="0" right="0" top="0" bottom="0" header="0" footer="0"/>
      <printOptions gridLines="1"/>
      <pageSetup paperSize="8" scale="95" orientation="landscape" r:id="rId5"/>
      <headerFooter alignWithMargins="0">
        <oddHeader>&amp;C2019.04.29-05.05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J19" sqref="J19"/>
      <pageMargins left="0" right="0" top="0" bottom="0" header="0" footer="0"/>
      <printOptions gridLines="1"/>
      <pageSetup paperSize="8" scale="95" orientation="landscape" r:id="rId6"/>
      <headerFooter alignWithMargins="0">
        <oddHeader>&amp;C2019.04.29-05.05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M26" sqref="M26"/>
      <pageMargins left="0" right="0" top="0" bottom="0" header="0" footer="0"/>
      <printOptions gridLines="1"/>
      <pageSetup paperSize="8" scale="95" orientation="landscape" r:id="rId7"/>
      <headerFooter alignWithMargins="0">
        <oddHeader>&amp;C2019.04.29-05.05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D51" sqref="D51"/>
      <pageMargins left="0" right="0" top="0" bottom="0" header="0" footer="0"/>
      <printOptions gridLines="1"/>
      <pageSetup paperSize="8" scale="95" orientation="landscape" r:id="rId8"/>
      <headerFooter alignWithMargins="0">
        <oddHeader>&amp;C2019.04.29-05.05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M26" sqref="M26"/>
      <pageMargins left="0" right="0" top="0" bottom="0" header="0" footer="0"/>
      <printOptions gridLines="1"/>
      <pageSetup paperSize="8" scale="95" orientation="landscape" r:id="rId9"/>
      <headerFooter alignWithMargins="0">
        <oddHeader>&amp;C2019.04.29-05.05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J19" sqref="J19"/>
      <pageMargins left="0" right="0" top="0" bottom="0" header="0" footer="0"/>
      <printOptions gridLines="1"/>
      <pageSetup paperSize="8" scale="95" orientation="landscape" r:id="rId10"/>
      <headerFooter alignWithMargins="0">
        <oddHeader>&amp;C2019.04.29-05.05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F9" sqref="F9"/>
      <pageMargins left="0" right="0" top="0" bottom="0" header="0" footer="0"/>
      <printOptions gridLines="1"/>
      <pageSetup paperSize="8" scale="95" orientation="landscape" r:id="rId11"/>
      <headerFooter alignWithMargins="0">
        <oddHeader>&amp;C2019.04.29-05.05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M26" sqref="M26"/>
      <pageMargins left="0" right="0" top="0" bottom="0" header="0" footer="0"/>
      <printOptions gridLines="1"/>
      <pageSetup paperSize="8" scale="95" orientation="landscape" r:id="rId12"/>
      <headerFooter alignWithMargins="0">
        <oddHeader>&amp;C2019.04.29-05.05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8" scale="95" orientation="landscape" r:id="rId13"/>
  <headerFooter alignWithMargins="0">
    <oddHeader>&amp;C2019.04.29-05.05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Munka6"/>
  <dimension ref="A1:K139"/>
  <sheetViews>
    <sheetView zoomScale="80" zoomScaleNormal="80" zoomScaleSheetLayoutView="40" workbookViewId="0">
      <pane ySplit="1" topLeftCell="A2" activePane="bottomLeft" state="frozen"/>
      <selection pane="bottomLeft" activeCell="I30" sqref="I29:I30"/>
    </sheetView>
  </sheetViews>
  <sheetFormatPr defaultColWidth="9.140625" defaultRowHeight="12.75" x14ac:dyDescent="0.2"/>
  <cols>
    <col min="1" max="1" width="12.28515625" style="119" customWidth="1"/>
    <col min="2" max="2" width="27.7109375" style="69" customWidth="1"/>
    <col min="3" max="3" width="26" style="69" customWidth="1"/>
    <col min="4" max="4" width="25.7109375" style="69" customWidth="1"/>
    <col min="5" max="5" width="27.85546875" style="69" customWidth="1"/>
    <col min="6" max="6" width="29.28515625" style="69" customWidth="1"/>
    <col min="7" max="7" width="18.7109375" style="69" customWidth="1"/>
    <col min="8" max="8" width="15.140625" style="69" customWidth="1"/>
    <col min="9" max="9" width="30.7109375" style="69" customWidth="1"/>
    <col min="10" max="16384" width="9.140625" style="69"/>
  </cols>
  <sheetData>
    <row r="1" spans="1:9" ht="28.5" customHeight="1" thickTop="1" thickBot="1" x14ac:dyDescent="0.25">
      <c r="A1" s="64" t="s">
        <v>284</v>
      </c>
      <c r="B1" s="65" t="s">
        <v>285</v>
      </c>
      <c r="C1" s="65" t="s">
        <v>286</v>
      </c>
      <c r="D1" s="65" t="s">
        <v>287</v>
      </c>
      <c r="E1" s="65" t="s">
        <v>288</v>
      </c>
      <c r="F1" s="65" t="s">
        <v>289</v>
      </c>
      <c r="G1" s="67" t="s">
        <v>290</v>
      </c>
      <c r="H1" s="67" t="s">
        <v>291</v>
      </c>
      <c r="I1" s="68"/>
    </row>
    <row r="2" spans="1:9" ht="15" customHeight="1" x14ac:dyDescent="0.2">
      <c r="A2" s="141"/>
      <c r="B2" s="137" t="s">
        <v>292</v>
      </c>
      <c r="C2" s="71"/>
      <c r="D2" s="122" t="s">
        <v>293</v>
      </c>
      <c r="E2" s="122" t="s">
        <v>294</v>
      </c>
      <c r="F2" s="128" t="s">
        <v>295</v>
      </c>
      <c r="G2" s="74"/>
      <c r="H2" s="74"/>
      <c r="I2" s="75"/>
    </row>
    <row r="3" spans="1:9" ht="15" customHeight="1" x14ac:dyDescent="0.2">
      <c r="A3" s="142"/>
      <c r="B3" s="146" t="s">
        <v>296</v>
      </c>
      <c r="C3" s="77"/>
      <c r="D3" s="77" t="s">
        <v>297</v>
      </c>
      <c r="E3" s="127" t="s">
        <v>298</v>
      </c>
      <c r="F3" s="129" t="s">
        <v>299</v>
      </c>
      <c r="G3" s="80"/>
      <c r="H3" s="80"/>
      <c r="I3" s="75"/>
    </row>
    <row r="4" spans="1:9" ht="15" customHeight="1" x14ac:dyDescent="0.2">
      <c r="A4" s="142" t="s">
        <v>18</v>
      </c>
      <c r="B4" s="138" t="s">
        <v>25</v>
      </c>
      <c r="C4" s="77"/>
      <c r="D4" s="77" t="s">
        <v>300</v>
      </c>
      <c r="E4" s="138" t="s">
        <v>301</v>
      </c>
      <c r="F4" s="129" t="s">
        <v>302</v>
      </c>
      <c r="G4" s="80"/>
      <c r="H4" s="80"/>
    </row>
    <row r="5" spans="1:9" ht="15" customHeight="1" x14ac:dyDescent="0.2">
      <c r="A5" s="143" t="s">
        <v>19</v>
      </c>
      <c r="B5" s="138" t="s">
        <v>303</v>
      </c>
      <c r="C5" s="77"/>
      <c r="D5" s="77" t="s">
        <v>304</v>
      </c>
      <c r="E5" s="77"/>
      <c r="F5" s="79"/>
      <c r="G5" s="80"/>
      <c r="H5" s="80"/>
    </row>
    <row r="6" spans="1:9" ht="15" customHeight="1" x14ac:dyDescent="0.2">
      <c r="A6" s="144"/>
      <c r="B6" s="139"/>
      <c r="C6" s="83"/>
      <c r="D6" s="83"/>
      <c r="E6" s="83"/>
      <c r="F6" s="85"/>
      <c r="G6" s="86"/>
      <c r="H6" s="86"/>
    </row>
    <row r="7" spans="1:9" ht="15" customHeight="1" thickBot="1" x14ac:dyDescent="0.25">
      <c r="A7" s="145" t="s">
        <v>20</v>
      </c>
      <c r="B7" s="138" t="s">
        <v>21</v>
      </c>
      <c r="C7" s="140"/>
      <c r="D7" s="140" t="s">
        <v>21</v>
      </c>
      <c r="E7" s="140" t="s">
        <v>21</v>
      </c>
      <c r="F7" s="140" t="s">
        <v>224</v>
      </c>
      <c r="G7" s="91"/>
      <c r="H7" s="91"/>
    </row>
    <row r="8" spans="1:9" ht="15" customHeight="1" x14ac:dyDescent="0.2">
      <c r="A8" s="82"/>
      <c r="B8" s="71" t="s">
        <v>305</v>
      </c>
      <c r="C8" s="137" t="s">
        <v>306</v>
      </c>
      <c r="D8" s="77" t="s">
        <v>255</v>
      </c>
      <c r="E8" s="77" t="s">
        <v>265</v>
      </c>
      <c r="F8" s="79" t="s">
        <v>307</v>
      </c>
      <c r="G8" s="80"/>
      <c r="H8" s="80"/>
    </row>
    <row r="9" spans="1:9" ht="15" customHeight="1" x14ac:dyDescent="0.2">
      <c r="A9" s="82"/>
      <c r="B9" s="127"/>
      <c r="C9" s="157" t="s">
        <v>308</v>
      </c>
      <c r="D9" s="77" t="s">
        <v>265</v>
      </c>
      <c r="E9" s="127" t="s">
        <v>54</v>
      </c>
      <c r="F9" s="129" t="s">
        <v>309</v>
      </c>
      <c r="G9" s="80"/>
      <c r="H9" s="80"/>
    </row>
    <row r="10" spans="1:9" ht="15" customHeight="1" x14ac:dyDescent="0.2">
      <c r="A10" s="92" t="s">
        <v>18</v>
      </c>
      <c r="B10" s="127" t="s">
        <v>89</v>
      </c>
      <c r="C10" s="157" t="s">
        <v>310</v>
      </c>
      <c r="D10" s="77"/>
      <c r="E10" s="77"/>
      <c r="F10" s="79"/>
      <c r="G10" s="80"/>
      <c r="H10" s="80"/>
    </row>
    <row r="11" spans="1:9" ht="15" customHeight="1" x14ac:dyDescent="0.2">
      <c r="A11" s="93" t="s">
        <v>30</v>
      </c>
      <c r="B11" s="77" t="s">
        <v>306</v>
      </c>
      <c r="C11" s="138" t="s">
        <v>311</v>
      </c>
      <c r="D11" s="77"/>
      <c r="E11" s="77"/>
      <c r="F11" s="79"/>
      <c r="G11" s="80"/>
      <c r="H11" s="80"/>
    </row>
    <row r="12" spans="1:9" ht="15" customHeight="1" x14ac:dyDescent="0.2">
      <c r="A12" s="82"/>
      <c r="B12" s="77" t="s">
        <v>308</v>
      </c>
      <c r="C12" s="157" t="s">
        <v>201</v>
      </c>
      <c r="D12" s="77"/>
      <c r="E12" s="77"/>
      <c r="F12" s="79"/>
      <c r="G12" s="80"/>
      <c r="H12" s="80"/>
    </row>
    <row r="13" spans="1:9" ht="15" customHeight="1" x14ac:dyDescent="0.2">
      <c r="A13" s="82"/>
      <c r="B13" s="83" t="s">
        <v>310</v>
      </c>
      <c r="C13" s="139"/>
      <c r="D13" s="83"/>
      <c r="E13" s="83"/>
      <c r="F13" s="85"/>
      <c r="G13" s="86"/>
      <c r="H13" s="86"/>
    </row>
    <row r="14" spans="1:9" ht="15" customHeight="1" thickBot="1" x14ac:dyDescent="0.25">
      <c r="A14" s="159" t="s">
        <v>20</v>
      </c>
      <c r="B14" s="158" t="s">
        <v>312</v>
      </c>
      <c r="C14" s="140" t="s">
        <v>313</v>
      </c>
      <c r="D14" s="88" t="s">
        <v>314</v>
      </c>
      <c r="E14" s="208" t="s">
        <v>315</v>
      </c>
      <c r="F14" s="208" t="s">
        <v>316</v>
      </c>
      <c r="G14" s="91"/>
      <c r="H14" s="91"/>
    </row>
    <row r="15" spans="1:9" ht="15" customHeight="1" thickTop="1" x14ac:dyDescent="0.2">
      <c r="A15" s="82"/>
      <c r="B15" s="127" t="s">
        <v>317</v>
      </c>
      <c r="C15" s="127" t="s">
        <v>318</v>
      </c>
      <c r="D15" s="77"/>
      <c r="E15" s="127" t="s">
        <v>319</v>
      </c>
      <c r="F15" s="53" t="s">
        <v>320</v>
      </c>
      <c r="G15" s="80"/>
      <c r="H15" s="80"/>
    </row>
    <row r="16" spans="1:9" ht="15" customHeight="1" x14ac:dyDescent="0.2">
      <c r="A16" s="82"/>
      <c r="B16" s="127" t="s">
        <v>321</v>
      </c>
      <c r="C16" s="77" t="s">
        <v>322</v>
      </c>
      <c r="D16" s="77"/>
      <c r="E16" s="127" t="s">
        <v>323</v>
      </c>
      <c r="F16" s="129" t="s">
        <v>324</v>
      </c>
      <c r="G16" s="80"/>
      <c r="H16" s="80"/>
    </row>
    <row r="17" spans="1:11" ht="15" customHeight="1" x14ac:dyDescent="0.2">
      <c r="A17" s="92" t="s">
        <v>41</v>
      </c>
      <c r="B17" s="127" t="s">
        <v>325</v>
      </c>
      <c r="C17" s="127" t="s">
        <v>326</v>
      </c>
      <c r="D17" s="77"/>
      <c r="E17" s="77" t="s">
        <v>327</v>
      </c>
      <c r="F17" s="77" t="s">
        <v>328</v>
      </c>
      <c r="G17" s="80"/>
      <c r="H17" s="80"/>
    </row>
    <row r="18" spans="1:11" ht="15" customHeight="1" x14ac:dyDescent="0.2">
      <c r="A18" s="93" t="s">
        <v>43</v>
      </c>
      <c r="B18" s="77" t="s">
        <v>198</v>
      </c>
      <c r="C18" s="77"/>
      <c r="D18" s="77"/>
      <c r="E18" s="77"/>
      <c r="F18" s="77" t="s">
        <v>329</v>
      </c>
      <c r="G18" s="80"/>
      <c r="H18" s="80"/>
    </row>
    <row r="19" spans="1:11" x14ac:dyDescent="0.2">
      <c r="A19" s="82"/>
      <c r="B19" s="150" t="s">
        <v>330</v>
      </c>
      <c r="C19" s="83"/>
      <c r="D19" s="83"/>
      <c r="E19" s="83"/>
      <c r="F19" s="85"/>
      <c r="G19" s="86"/>
      <c r="H19" s="86"/>
    </row>
    <row r="20" spans="1:11" ht="13.5" thickBot="1" x14ac:dyDescent="0.25">
      <c r="A20" s="87" t="s">
        <v>20</v>
      </c>
      <c r="B20" s="88" t="s">
        <v>138</v>
      </c>
      <c r="C20" s="88" t="s">
        <v>138</v>
      </c>
      <c r="D20" s="88"/>
      <c r="E20" s="88" t="s">
        <v>331</v>
      </c>
      <c r="F20" s="88" t="s">
        <v>138</v>
      </c>
      <c r="G20" s="91"/>
      <c r="H20" s="91"/>
    </row>
    <row r="21" spans="1:11" ht="13.5" thickTop="1" x14ac:dyDescent="0.2">
      <c r="A21" s="82"/>
      <c r="B21" s="127"/>
      <c r="C21" s="77"/>
      <c r="D21" s="77"/>
      <c r="E21" s="77"/>
      <c r="F21" s="79"/>
      <c r="G21" s="80"/>
      <c r="H21" s="80"/>
    </row>
    <row r="22" spans="1:11" x14ac:dyDescent="0.2">
      <c r="A22" s="82"/>
      <c r="B22" s="127" t="s">
        <v>48</v>
      </c>
      <c r="C22" s="77"/>
      <c r="D22" s="77"/>
      <c r="E22" s="77"/>
      <c r="F22" s="79"/>
      <c r="G22" s="80"/>
      <c r="H22" s="80"/>
    </row>
    <row r="23" spans="1:11" x14ac:dyDescent="0.2">
      <c r="A23" s="92" t="s">
        <v>41</v>
      </c>
      <c r="B23" s="77"/>
      <c r="C23" s="77"/>
      <c r="D23" s="77"/>
      <c r="E23" s="77"/>
      <c r="F23" s="79"/>
      <c r="G23" s="80"/>
      <c r="H23" s="80"/>
    </row>
    <row r="24" spans="1:11" x14ac:dyDescent="0.2">
      <c r="A24" s="93" t="s">
        <v>50</v>
      </c>
      <c r="B24" s="77"/>
      <c r="C24" s="77"/>
      <c r="D24" s="77"/>
      <c r="E24" s="77"/>
      <c r="F24" s="79"/>
      <c r="G24" s="80"/>
      <c r="H24" s="80"/>
    </row>
    <row r="25" spans="1:11" x14ac:dyDescent="0.2">
      <c r="A25" s="82"/>
      <c r="B25" s="83"/>
      <c r="C25" s="83"/>
      <c r="D25" s="83"/>
      <c r="E25" s="83"/>
      <c r="F25" s="85"/>
      <c r="G25" s="86"/>
      <c r="H25" s="86"/>
    </row>
    <row r="26" spans="1:11" ht="13.5" thickBot="1" x14ac:dyDescent="0.25">
      <c r="A26" s="87" t="s">
        <v>20</v>
      </c>
      <c r="B26" s="88"/>
      <c r="C26" s="88"/>
      <c r="D26" s="88"/>
      <c r="E26" s="88"/>
      <c r="F26" s="90"/>
      <c r="G26" s="91"/>
      <c r="H26" s="91"/>
    </row>
    <row r="27" spans="1:11" ht="13.5" thickTop="1" x14ac:dyDescent="0.2">
      <c r="A27" s="76"/>
      <c r="B27" s="77"/>
      <c r="C27" s="77"/>
      <c r="D27" s="77"/>
      <c r="E27" s="77"/>
      <c r="F27" s="79"/>
      <c r="G27" s="80"/>
      <c r="H27" s="80"/>
    </row>
    <row r="28" spans="1:11" x14ac:dyDescent="0.2">
      <c r="A28" s="82"/>
      <c r="B28" s="77"/>
      <c r="C28" s="77"/>
      <c r="D28" s="77"/>
      <c r="E28" s="77"/>
      <c r="F28" s="79"/>
      <c r="G28" s="80"/>
      <c r="H28" s="80"/>
    </row>
    <row r="29" spans="1:11" x14ac:dyDescent="0.2">
      <c r="A29" s="92" t="s">
        <v>59</v>
      </c>
      <c r="B29" s="77"/>
      <c r="C29" s="77"/>
      <c r="D29" s="77"/>
      <c r="E29" s="77"/>
      <c r="F29" s="79"/>
      <c r="G29" s="80"/>
      <c r="H29" s="80"/>
    </row>
    <row r="30" spans="1:11" x14ac:dyDescent="0.2">
      <c r="A30" s="93" t="s">
        <v>60</v>
      </c>
      <c r="B30" s="77"/>
      <c r="C30" s="77"/>
      <c r="D30" s="77"/>
      <c r="E30" s="77"/>
      <c r="F30" s="79"/>
      <c r="G30" s="80"/>
      <c r="H30" s="80"/>
      <c r="K30" s="118"/>
    </row>
    <row r="31" spans="1:11" x14ac:dyDescent="0.2">
      <c r="A31" s="92"/>
      <c r="B31" s="77"/>
      <c r="C31" s="77"/>
      <c r="D31" s="77"/>
      <c r="E31" s="77"/>
      <c r="F31" s="79"/>
      <c r="G31" s="80"/>
      <c r="H31" s="80"/>
    </row>
    <row r="32" spans="1:11" x14ac:dyDescent="0.2">
      <c r="A32" s="92"/>
      <c r="B32" s="94"/>
      <c r="C32" s="94"/>
      <c r="D32" s="94"/>
      <c r="E32" s="94"/>
      <c r="F32" s="96"/>
      <c r="G32" s="97"/>
      <c r="H32" s="97"/>
    </row>
    <row r="33" spans="1:8" ht="13.5" thickBot="1" x14ac:dyDescent="0.25">
      <c r="A33" s="87" t="s">
        <v>20</v>
      </c>
      <c r="B33" s="88"/>
      <c r="C33" s="77"/>
      <c r="D33" s="88"/>
      <c r="E33" s="88"/>
      <c r="F33" s="90"/>
      <c r="G33" s="91"/>
      <c r="H33" s="91"/>
    </row>
    <row r="34" spans="1:8" ht="13.5" thickTop="1" x14ac:dyDescent="0.2">
      <c r="A34" s="76"/>
      <c r="B34" s="152" t="s">
        <v>256</v>
      </c>
      <c r="C34" s="122" t="s">
        <v>332</v>
      </c>
      <c r="D34" s="138" t="s">
        <v>333</v>
      </c>
      <c r="E34" s="127" t="s">
        <v>334</v>
      </c>
      <c r="F34" s="77"/>
      <c r="G34" s="80"/>
      <c r="H34" s="80"/>
    </row>
    <row r="35" spans="1:8" x14ac:dyDescent="0.2">
      <c r="A35" s="98"/>
      <c r="B35" s="153" t="s">
        <v>335</v>
      </c>
      <c r="C35" s="127" t="s">
        <v>336</v>
      </c>
      <c r="D35" s="157" t="s">
        <v>337</v>
      </c>
      <c r="E35" s="77" t="s">
        <v>338</v>
      </c>
      <c r="F35" s="79"/>
      <c r="G35" s="80"/>
      <c r="H35" s="80"/>
    </row>
    <row r="36" spans="1:8" x14ac:dyDescent="0.2">
      <c r="A36" s="92" t="s">
        <v>279</v>
      </c>
      <c r="B36" s="152" t="s">
        <v>339</v>
      </c>
      <c r="C36" s="77" t="s">
        <v>297</v>
      </c>
      <c r="D36" s="157" t="s">
        <v>340</v>
      </c>
      <c r="E36" s="77"/>
      <c r="F36" s="79"/>
      <c r="G36" s="80"/>
      <c r="H36" s="80"/>
    </row>
    <row r="37" spans="1:8" x14ac:dyDescent="0.2">
      <c r="A37" s="93" t="s">
        <v>67</v>
      </c>
      <c r="B37" s="154"/>
      <c r="C37" s="127" t="s">
        <v>341</v>
      </c>
      <c r="D37" s="157" t="s">
        <v>258</v>
      </c>
      <c r="E37" s="77"/>
      <c r="F37" s="79"/>
      <c r="G37" s="80"/>
      <c r="H37" s="80"/>
    </row>
    <row r="38" spans="1:8" x14ac:dyDescent="0.2">
      <c r="A38" s="92"/>
      <c r="B38" s="155"/>
      <c r="C38" s="83"/>
      <c r="D38" s="160" t="s">
        <v>342</v>
      </c>
      <c r="E38" s="83"/>
      <c r="F38" s="85"/>
      <c r="G38" s="86"/>
      <c r="H38" s="86"/>
    </row>
    <row r="39" spans="1:8" ht="13.5" thickBot="1" x14ac:dyDescent="0.25">
      <c r="A39" s="87" t="s">
        <v>20</v>
      </c>
      <c r="B39" s="206" t="s">
        <v>343</v>
      </c>
      <c r="C39" s="207" t="s">
        <v>343</v>
      </c>
      <c r="D39" s="140" t="s">
        <v>344</v>
      </c>
      <c r="E39" s="88" t="s">
        <v>344</v>
      </c>
      <c r="F39" s="88"/>
      <c r="G39" s="91"/>
      <c r="H39" s="91"/>
    </row>
    <row r="40" spans="1:8" ht="13.5" thickTop="1" x14ac:dyDescent="0.2">
      <c r="A40" s="76"/>
      <c r="B40" s="100"/>
      <c r="C40" s="100"/>
      <c r="D40" s="100"/>
      <c r="E40" s="100"/>
      <c r="F40" s="102"/>
      <c r="G40" s="103"/>
      <c r="H40" s="103"/>
    </row>
    <row r="41" spans="1:8" x14ac:dyDescent="0.2">
      <c r="A41" s="92" t="s">
        <v>71</v>
      </c>
      <c r="B41" s="100"/>
      <c r="C41" s="100"/>
      <c r="D41" s="100"/>
      <c r="E41" s="100"/>
      <c r="F41" s="102"/>
      <c r="G41" s="103"/>
      <c r="H41" s="103"/>
    </row>
    <row r="42" spans="1:8" x14ac:dyDescent="0.2">
      <c r="A42" s="93" t="s">
        <v>72</v>
      </c>
      <c r="B42" s="104"/>
      <c r="C42" s="104"/>
      <c r="D42" s="104"/>
      <c r="E42" s="104"/>
      <c r="F42" s="106"/>
      <c r="G42" s="107"/>
      <c r="H42" s="107"/>
    </row>
    <row r="43" spans="1:8" ht="13.5" thickBot="1" x14ac:dyDescent="0.25">
      <c r="A43" s="87" t="s">
        <v>20</v>
      </c>
      <c r="B43" s="108"/>
      <c r="C43" s="108"/>
      <c r="D43" s="108"/>
      <c r="E43" s="108"/>
      <c r="F43" s="110"/>
      <c r="G43" s="111"/>
      <c r="H43" s="111"/>
    </row>
    <row r="44" spans="1:8" ht="13.5" thickTop="1" x14ac:dyDescent="0.2">
      <c r="A44" s="112" t="s">
        <v>280</v>
      </c>
      <c r="B44" s="113"/>
      <c r="C44" s="113"/>
      <c r="D44" s="113" t="s">
        <v>211</v>
      </c>
      <c r="E44" s="113" t="s">
        <v>211</v>
      </c>
      <c r="F44" s="113" t="s">
        <v>345</v>
      </c>
      <c r="G44" s="113"/>
      <c r="H44" s="113"/>
    </row>
    <row r="45" spans="1:8" x14ac:dyDescent="0.2">
      <c r="A45" s="114" t="s">
        <v>282</v>
      </c>
      <c r="B45" s="113"/>
      <c r="C45" s="151" t="s">
        <v>73</v>
      </c>
      <c r="D45" s="113"/>
      <c r="E45" s="113"/>
      <c r="F45" s="113"/>
      <c r="G45" s="113"/>
      <c r="H45" s="113"/>
    </row>
    <row r="46" spans="1:8" x14ac:dyDescent="0.2">
      <c r="A46" s="115"/>
      <c r="B46" s="113"/>
      <c r="C46" s="113"/>
      <c r="D46" s="113"/>
      <c r="E46" s="113"/>
      <c r="F46" s="113"/>
      <c r="G46" s="113"/>
      <c r="H46" s="113"/>
    </row>
    <row r="47" spans="1:8" ht="13.5" thickBot="1" x14ac:dyDescent="0.25">
      <c r="A47" s="248" t="s">
        <v>75</v>
      </c>
      <c r="B47" s="249" t="s">
        <v>76</v>
      </c>
      <c r="C47" s="113"/>
      <c r="D47" s="113"/>
      <c r="E47" s="113"/>
      <c r="F47" s="113"/>
      <c r="G47" s="113"/>
      <c r="H47" s="113"/>
    </row>
    <row r="48" spans="1:8" ht="13.5" thickTop="1" x14ac:dyDescent="0.2">
      <c r="A48" s="115"/>
      <c r="B48" s="113"/>
      <c r="C48" s="113"/>
      <c r="D48" s="113"/>
      <c r="E48" s="113"/>
      <c r="F48" s="113"/>
      <c r="G48" s="113"/>
      <c r="H48" s="113"/>
    </row>
    <row r="49" spans="1:8" x14ac:dyDescent="0.2">
      <c r="A49" s="115"/>
      <c r="B49" s="116"/>
      <c r="C49" s="116"/>
      <c r="D49" s="116"/>
      <c r="E49" s="116"/>
      <c r="F49" s="116"/>
      <c r="G49" s="116"/>
      <c r="H49" s="116"/>
    </row>
    <row r="50" spans="1:8" x14ac:dyDescent="0.2">
      <c r="A50" s="117"/>
      <c r="B50" s="116"/>
      <c r="C50" s="116"/>
      <c r="D50" s="116"/>
      <c r="E50" s="116"/>
      <c r="F50" s="116"/>
      <c r="G50" s="116"/>
      <c r="H50" s="116"/>
    </row>
    <row r="51" spans="1:8" x14ac:dyDescent="0.2">
      <c r="A51" s="117"/>
      <c r="B51" s="116"/>
      <c r="C51" s="116"/>
      <c r="D51" s="116"/>
      <c r="E51" s="116"/>
      <c r="F51" s="116"/>
      <c r="G51" s="116"/>
      <c r="H51" s="116"/>
    </row>
    <row r="52" spans="1:8" x14ac:dyDescent="0.2">
      <c r="A52" s="115"/>
      <c r="B52" s="118"/>
      <c r="C52" s="118"/>
      <c r="D52" s="118"/>
      <c r="E52" s="118"/>
      <c r="F52" s="118"/>
      <c r="G52" s="118"/>
      <c r="H52" s="118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7"/>
      <c r="B59" s="118"/>
      <c r="C59" s="118"/>
      <c r="D59" s="118"/>
      <c r="E59" s="118"/>
      <c r="F59" s="118"/>
      <c r="G59" s="118"/>
      <c r="H59" s="118"/>
    </row>
    <row r="60" spans="1:8" x14ac:dyDescent="0.2">
      <c r="A60" s="117"/>
      <c r="B60" s="118"/>
      <c r="C60" s="118"/>
      <c r="D60" s="118"/>
      <c r="E60" s="118"/>
      <c r="F60" s="118"/>
      <c r="G60" s="118"/>
      <c r="H60" s="118"/>
    </row>
    <row r="61" spans="1:8" x14ac:dyDescent="0.2">
      <c r="A61" s="115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I30" sqref="I29:I30"/>
      <pageMargins left="0" right="0" top="0" bottom="0" header="0" footer="0"/>
      <printOptions gridLines="1"/>
      <pageSetup paperSize="9" scale="75" orientation="landscape" r:id="rId1"/>
      <headerFooter alignWithMargins="0">
        <oddHeader>&amp;C2019.05.06-12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E14" sqref="E14:F14"/>
      <pageMargins left="0" right="0" top="0" bottom="0" header="0" footer="0"/>
      <printOptions gridLines="1"/>
      <pageSetup paperSize="8" scale="95" orientation="landscape" r:id="rId2"/>
      <headerFooter alignWithMargins="0">
        <oddHeader>&amp;C2019.05.06-12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I30" sqref="I29:I30"/>
      <pageMargins left="0" right="0" top="0" bottom="0" header="0" footer="0"/>
      <printOptions gridLines="1"/>
      <pageSetup paperSize="9" scale="75" orientation="landscape" r:id="rId3"/>
      <headerFooter alignWithMargins="0">
        <oddHeader>&amp;C2019.05.06-12</oddHeader>
      </headerFooter>
    </customSheetView>
    <customSheetView guid="{4B58F0A9-071E-4376-B7AD-463366669E19}" scale="80">
      <pane ySplit="1" topLeftCell="A2" activePane="bottomLeft" state="frozen"/>
      <selection pane="bottomLeft" activeCell="I30" sqref="I29:I30"/>
      <pageMargins left="0" right="0" top="0" bottom="0" header="0" footer="0"/>
      <printOptions gridLines="1"/>
      <pageSetup paperSize="9" scale="75" orientation="landscape" r:id="rId4"/>
      <headerFooter alignWithMargins="0">
        <oddHeader>&amp;C2019.05.06-12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I30" sqref="I29:I30"/>
      <pageMargins left="0" right="0" top="0" bottom="0" header="0" footer="0"/>
      <printOptions gridLines="1"/>
      <pageSetup paperSize="9" scale="75" orientation="landscape" r:id="rId5"/>
      <headerFooter alignWithMargins="0">
        <oddHeader>&amp;C2019.05.06-12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I24" sqref="I24"/>
      <pageMargins left="0" right="0" top="0" bottom="0" header="0" footer="0"/>
      <printOptions gridLines="1"/>
      <pageSetup paperSize="8" scale="95" orientation="landscape" r:id="rId6"/>
      <headerFooter alignWithMargins="0">
        <oddHeader>&amp;C2019.05.06-12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I30" sqref="I29:I30"/>
      <pageMargins left="0" right="0" top="0" bottom="0" header="0" footer="0"/>
      <printOptions gridLines="1"/>
      <pageSetup paperSize="9" scale="75" orientation="landscape" r:id="rId7"/>
      <headerFooter alignWithMargins="0">
        <oddHeader>&amp;C2019.05.06-12</oddHeader>
      </headerFooter>
    </customSheetView>
    <customSheetView guid="{CD08FFCB-5C1E-4FBC-90EE-0F61C4C5D8EE}" scale="80" showPageBreaks="1" printArea="1">
      <pane ySplit="1" topLeftCell="A17" activePane="bottomLeft" state="frozen"/>
      <selection pane="bottomLeft" activeCell="D48" sqref="D48"/>
      <pageMargins left="0" right="0" top="0" bottom="0" header="0" footer="0"/>
      <printOptions gridLines="1"/>
      <pageSetup paperSize="8" scale="95" orientation="landscape" r:id="rId8"/>
      <headerFooter alignWithMargins="0">
        <oddHeader>&amp;C2019.05.06-12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I30" sqref="I29:I30"/>
      <pageMargins left="0" right="0" top="0" bottom="0" header="0" footer="0"/>
      <printOptions gridLines="1"/>
      <pageSetup paperSize="9" scale="75" orientation="landscape" r:id="rId9"/>
      <headerFooter alignWithMargins="0">
        <oddHeader>&amp;C2019.05.06-12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I24" sqref="I24"/>
      <pageMargins left="0" right="0" top="0" bottom="0" header="0" footer="0"/>
      <printOptions gridLines="1"/>
      <pageSetup paperSize="8" scale="95" orientation="landscape" r:id="rId10"/>
      <headerFooter alignWithMargins="0">
        <oddHeader>&amp;C2019.05.06-12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F8" sqref="F8"/>
      <pageMargins left="0" right="0" top="0" bottom="0" header="0" footer="0"/>
      <printOptions gridLines="1"/>
      <pageSetup paperSize="8" scale="95" orientation="landscape" r:id="rId11"/>
      <headerFooter alignWithMargins="0">
        <oddHeader>&amp;C2019.05.06-12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I30" sqref="I29:I30"/>
      <pageMargins left="0" right="0" top="0" bottom="0" header="0" footer="0"/>
      <printOptions gridLines="1"/>
      <pageSetup paperSize="9" scale="75" orientation="landscape" r:id="rId12"/>
      <headerFooter alignWithMargins="0">
        <oddHeader>&amp;C2019.05.06-12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9" scale="75" orientation="landscape" r:id="rId13"/>
  <headerFooter alignWithMargins="0">
    <oddHeader>&amp;C2019.05.06-12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Munka7"/>
  <dimension ref="A1:J141"/>
  <sheetViews>
    <sheetView zoomScale="80" zoomScaleNormal="80" zoomScaleSheetLayoutView="40" workbookViewId="0">
      <pane ySplit="1" topLeftCell="A2" activePane="bottomLeft" state="frozen"/>
      <selection pane="bottomLeft" activeCell="F10" sqref="F10"/>
    </sheetView>
  </sheetViews>
  <sheetFormatPr defaultColWidth="9.140625" defaultRowHeight="12.75" x14ac:dyDescent="0.2"/>
  <cols>
    <col min="1" max="1" width="12.28515625" style="119" customWidth="1"/>
    <col min="2" max="6" width="29.28515625" style="69" customWidth="1"/>
    <col min="7" max="7" width="17.42578125" style="69" customWidth="1"/>
    <col min="8" max="8" width="17.7109375" style="69" customWidth="1"/>
    <col min="9" max="9" width="30.7109375" style="69" customWidth="1"/>
    <col min="10" max="16384" width="9.140625" style="69"/>
  </cols>
  <sheetData>
    <row r="1" spans="1:10" ht="28.5" customHeight="1" thickTop="1" thickBot="1" x14ac:dyDescent="0.25">
      <c r="A1" s="64" t="s">
        <v>346</v>
      </c>
      <c r="B1" s="65" t="s">
        <v>347</v>
      </c>
      <c r="C1" s="65" t="s">
        <v>348</v>
      </c>
      <c r="D1" s="65" t="s">
        <v>349</v>
      </c>
      <c r="E1" s="65" t="s">
        <v>350</v>
      </c>
      <c r="F1" s="65" t="s">
        <v>351</v>
      </c>
      <c r="G1" s="67" t="s">
        <v>352</v>
      </c>
      <c r="H1" s="67" t="s">
        <v>353</v>
      </c>
      <c r="I1" s="68"/>
    </row>
    <row r="2" spans="1:10" ht="15" customHeight="1" x14ac:dyDescent="0.2">
      <c r="A2" s="70"/>
      <c r="B2" s="127" t="s">
        <v>354</v>
      </c>
      <c r="C2" s="127"/>
      <c r="D2" s="152"/>
      <c r="E2" s="122" t="s">
        <v>256</v>
      </c>
      <c r="F2" s="167" t="s">
        <v>355</v>
      </c>
      <c r="G2" s="74"/>
      <c r="H2" s="74"/>
      <c r="I2" s="75"/>
    </row>
    <row r="3" spans="1:10" ht="15" customHeight="1" x14ac:dyDescent="0.2">
      <c r="A3" s="76"/>
      <c r="B3" s="162" t="s">
        <v>356</v>
      </c>
      <c r="C3" s="77"/>
      <c r="D3" s="154" t="s">
        <v>357</v>
      </c>
      <c r="E3" s="127" t="s">
        <v>358</v>
      </c>
      <c r="F3" s="167" t="s">
        <v>359</v>
      </c>
      <c r="G3" s="80"/>
      <c r="H3" s="80"/>
      <c r="I3" s="75"/>
    </row>
    <row r="4" spans="1:10" ht="15" customHeight="1" x14ac:dyDescent="0.2">
      <c r="A4" s="76" t="s">
        <v>18</v>
      </c>
      <c r="B4" s="77"/>
      <c r="C4" s="77"/>
      <c r="D4" s="154"/>
      <c r="E4" s="77"/>
      <c r="F4" s="138" t="s">
        <v>360</v>
      </c>
      <c r="G4" s="80"/>
      <c r="H4" s="80"/>
    </row>
    <row r="5" spans="1:10" ht="15" customHeight="1" x14ac:dyDescent="0.2">
      <c r="A5" s="81" t="s">
        <v>19</v>
      </c>
      <c r="B5" s="77"/>
      <c r="C5" s="77"/>
      <c r="D5" s="154"/>
      <c r="E5" s="77"/>
      <c r="F5" s="168" t="s">
        <v>361</v>
      </c>
      <c r="G5" s="80"/>
      <c r="H5" s="80"/>
    </row>
    <row r="6" spans="1:10" ht="15" customHeight="1" x14ac:dyDescent="0.2">
      <c r="A6" s="82"/>
      <c r="B6" s="83"/>
      <c r="C6" s="83"/>
      <c r="D6" s="155"/>
      <c r="E6" s="150"/>
      <c r="F6" s="169" t="s">
        <v>362</v>
      </c>
      <c r="G6" s="86"/>
      <c r="H6" s="86"/>
    </row>
    <row r="7" spans="1:10" ht="15" customHeight="1" thickBot="1" x14ac:dyDescent="0.25">
      <c r="A7" s="87" t="s">
        <v>20</v>
      </c>
      <c r="B7" s="208" t="s">
        <v>363</v>
      </c>
      <c r="C7" s="88"/>
      <c r="D7" s="156" t="s">
        <v>363</v>
      </c>
      <c r="E7" s="209" t="s">
        <v>363</v>
      </c>
      <c r="F7" s="210" t="s">
        <v>363</v>
      </c>
      <c r="G7" s="91"/>
      <c r="H7" s="91"/>
    </row>
    <row r="8" spans="1:10" ht="15" customHeight="1" thickTop="1" x14ac:dyDescent="0.2">
      <c r="A8" s="82"/>
      <c r="B8" s="127" t="s">
        <v>364</v>
      </c>
      <c r="C8" s="127" t="s">
        <v>365</v>
      </c>
      <c r="D8" s="127"/>
      <c r="E8" s="127" t="s">
        <v>366</v>
      </c>
      <c r="F8" s="127" t="s">
        <v>366</v>
      </c>
      <c r="G8" s="80"/>
      <c r="H8" s="80"/>
    </row>
    <row r="9" spans="1:10" ht="15" customHeight="1" x14ac:dyDescent="0.2">
      <c r="A9" s="82"/>
      <c r="B9" s="77"/>
      <c r="C9" s="127" t="s">
        <v>367</v>
      </c>
      <c r="D9" s="77"/>
      <c r="E9" s="77"/>
      <c r="F9" s="127" t="s">
        <v>201</v>
      </c>
      <c r="G9" s="80"/>
      <c r="H9" s="80"/>
    </row>
    <row r="10" spans="1:10" ht="15" customHeight="1" x14ac:dyDescent="0.2">
      <c r="A10" s="92" t="s">
        <v>18</v>
      </c>
      <c r="B10" s="77"/>
      <c r="C10" s="77" t="s">
        <v>368</v>
      </c>
      <c r="D10" s="77"/>
      <c r="E10" s="77"/>
      <c r="F10" s="79" t="s">
        <v>369</v>
      </c>
      <c r="G10" s="80"/>
      <c r="H10" s="80"/>
    </row>
    <row r="11" spans="1:10" ht="15" customHeight="1" x14ac:dyDescent="0.2">
      <c r="A11" s="93" t="s">
        <v>30</v>
      </c>
      <c r="B11" s="77"/>
      <c r="C11" s="77" t="s">
        <v>342</v>
      </c>
      <c r="D11" s="154" t="s">
        <v>357</v>
      </c>
      <c r="E11" s="77"/>
      <c r="F11" s="79"/>
      <c r="G11" s="80"/>
      <c r="H11" s="80"/>
    </row>
    <row r="12" spans="1:10" ht="15" customHeight="1" x14ac:dyDescent="0.2">
      <c r="A12" s="82"/>
      <c r="B12" s="77"/>
      <c r="C12" s="77" t="s">
        <v>370</v>
      </c>
      <c r="D12" s="77"/>
      <c r="E12" s="77"/>
      <c r="F12" s="79"/>
      <c r="G12" s="80"/>
      <c r="H12" s="80"/>
    </row>
    <row r="13" spans="1:10" ht="15" customHeight="1" x14ac:dyDescent="0.2">
      <c r="A13" s="82"/>
      <c r="B13" s="83"/>
      <c r="C13" s="83"/>
      <c r="D13" s="83"/>
      <c r="E13" s="83"/>
      <c r="F13" s="161"/>
      <c r="G13" s="86"/>
      <c r="H13" s="86"/>
    </row>
    <row r="14" spans="1:10" ht="15" customHeight="1" thickBot="1" x14ac:dyDescent="0.25">
      <c r="A14" s="87" t="s">
        <v>20</v>
      </c>
      <c r="B14" s="208" t="s">
        <v>371</v>
      </c>
      <c r="C14" s="208" t="s">
        <v>372</v>
      </c>
      <c r="D14" s="88" t="s">
        <v>373</v>
      </c>
      <c r="E14" s="208" t="s">
        <v>374</v>
      </c>
      <c r="F14" s="208" t="s">
        <v>375</v>
      </c>
      <c r="G14" s="91"/>
      <c r="H14" s="91"/>
      <c r="J14" s="118"/>
    </row>
    <row r="15" spans="1:10" ht="15" customHeight="1" thickTop="1" x14ac:dyDescent="0.2">
      <c r="A15" s="82"/>
      <c r="B15" s="127" t="s">
        <v>376</v>
      </c>
      <c r="C15" s="77" t="s">
        <v>377</v>
      </c>
      <c r="D15" s="77"/>
      <c r="E15" s="129" t="s">
        <v>378</v>
      </c>
      <c r="F15" s="129" t="s">
        <v>379</v>
      </c>
      <c r="G15" s="80"/>
      <c r="H15" s="80"/>
    </row>
    <row r="16" spans="1:10" ht="15" customHeight="1" x14ac:dyDescent="0.2">
      <c r="A16" s="82"/>
      <c r="B16" s="127" t="s">
        <v>54</v>
      </c>
      <c r="C16" s="127" t="s">
        <v>380</v>
      </c>
      <c r="D16" s="77"/>
      <c r="E16" s="79" t="s">
        <v>381</v>
      </c>
      <c r="F16" s="129" t="s">
        <v>382</v>
      </c>
      <c r="G16" s="80"/>
      <c r="H16" s="80"/>
    </row>
    <row r="17" spans="1:8" ht="15" customHeight="1" x14ac:dyDescent="0.2">
      <c r="A17" s="92" t="s">
        <v>41</v>
      </c>
      <c r="B17" s="77" t="s">
        <v>383</v>
      </c>
      <c r="C17" s="77" t="s">
        <v>384</v>
      </c>
      <c r="D17" s="154" t="s">
        <v>357</v>
      </c>
      <c r="E17" s="79" t="s">
        <v>385</v>
      </c>
      <c r="F17" s="129" t="s">
        <v>386</v>
      </c>
      <c r="G17" s="80"/>
      <c r="H17" s="80"/>
    </row>
    <row r="18" spans="1:8" ht="15" customHeight="1" x14ac:dyDescent="0.2">
      <c r="A18" s="93" t="s">
        <v>43</v>
      </c>
      <c r="B18" s="127" t="s">
        <v>387</v>
      </c>
      <c r="C18" s="77"/>
      <c r="D18" s="77"/>
      <c r="E18" s="79" t="s">
        <v>388</v>
      </c>
      <c r="F18" s="129" t="s">
        <v>389</v>
      </c>
      <c r="G18" s="80"/>
      <c r="H18" s="80"/>
    </row>
    <row r="19" spans="1:8" ht="15" customHeight="1" x14ac:dyDescent="0.2">
      <c r="A19" s="93"/>
      <c r="B19" s="127"/>
      <c r="C19" s="77"/>
      <c r="D19" s="77"/>
      <c r="E19" s="79"/>
      <c r="G19" s="80"/>
      <c r="H19" s="80"/>
    </row>
    <row r="20" spans="1:8" x14ac:dyDescent="0.2">
      <c r="A20" s="82"/>
      <c r="B20" s="77"/>
      <c r="C20" s="83"/>
      <c r="D20" s="83"/>
      <c r="E20" s="150" t="s">
        <v>390</v>
      </c>
      <c r="F20" s="85"/>
      <c r="G20" s="86"/>
      <c r="H20" s="86"/>
    </row>
    <row r="21" spans="1:8" ht="13.5" thickBot="1" x14ac:dyDescent="0.25">
      <c r="A21" s="166" t="s">
        <v>20</v>
      </c>
      <c r="B21" s="165" t="s">
        <v>138</v>
      </c>
      <c r="C21" s="88" t="s">
        <v>138</v>
      </c>
      <c r="D21" s="88" t="s">
        <v>138</v>
      </c>
      <c r="E21" s="88" t="s">
        <v>138</v>
      </c>
      <c r="F21" s="204" t="s">
        <v>138</v>
      </c>
      <c r="G21" s="91"/>
      <c r="H21" s="91"/>
    </row>
    <row r="22" spans="1:8" ht="13.5" thickTop="1" x14ac:dyDescent="0.2">
      <c r="A22" s="82"/>
      <c r="B22" s="77"/>
      <c r="C22" s="77"/>
      <c r="D22" s="77"/>
      <c r="E22" s="77"/>
      <c r="F22" s="79"/>
      <c r="G22" s="80"/>
      <c r="H22" s="80"/>
    </row>
    <row r="23" spans="1:8" hidden="1" x14ac:dyDescent="0.2">
      <c r="A23" s="82"/>
      <c r="B23" s="77"/>
      <c r="C23" s="77"/>
      <c r="D23" s="77"/>
      <c r="E23" s="77"/>
      <c r="F23" s="79"/>
      <c r="G23" s="80"/>
      <c r="H23" s="80"/>
    </row>
    <row r="24" spans="1:8" hidden="1" x14ac:dyDescent="0.2">
      <c r="A24" s="92" t="s">
        <v>41</v>
      </c>
      <c r="B24" s="77"/>
      <c r="C24" s="77"/>
      <c r="D24" s="77">
        <v>0</v>
      </c>
      <c r="E24" s="77"/>
      <c r="F24" s="79"/>
      <c r="G24" s="80"/>
      <c r="H24" s="80"/>
    </row>
    <row r="25" spans="1:8" hidden="1" x14ac:dyDescent="0.2">
      <c r="A25" s="93" t="s">
        <v>50</v>
      </c>
      <c r="B25" s="77"/>
      <c r="C25" s="77"/>
      <c r="D25" s="77"/>
      <c r="E25" s="77"/>
      <c r="F25" s="79"/>
      <c r="G25" s="80"/>
      <c r="H25" s="80"/>
    </row>
    <row r="26" spans="1:8" hidden="1" x14ac:dyDescent="0.2">
      <c r="A26" s="82"/>
      <c r="B26" s="77"/>
      <c r="C26" s="77"/>
      <c r="D26" s="77"/>
      <c r="E26" s="77"/>
      <c r="F26" s="79"/>
      <c r="G26" s="80"/>
      <c r="H26" s="80"/>
    </row>
    <row r="27" spans="1:8" hidden="1" x14ac:dyDescent="0.2">
      <c r="A27" s="82"/>
      <c r="B27" s="83"/>
      <c r="C27" s="83"/>
      <c r="D27" s="83"/>
      <c r="E27" s="83"/>
      <c r="F27" s="85"/>
      <c r="G27" s="86"/>
      <c r="H27" s="86"/>
    </row>
    <row r="28" spans="1:8" ht="13.5" hidden="1" thickBot="1" x14ac:dyDescent="0.25">
      <c r="A28" s="87" t="s">
        <v>20</v>
      </c>
      <c r="B28" s="88"/>
      <c r="C28" s="88"/>
      <c r="D28" s="88"/>
      <c r="E28" s="88"/>
      <c r="F28" s="90"/>
      <c r="G28" s="91"/>
      <c r="H28" s="91"/>
    </row>
    <row r="29" spans="1:8" x14ac:dyDescent="0.2">
      <c r="A29" s="76"/>
      <c r="B29" s="77"/>
      <c r="C29" s="77"/>
      <c r="D29" s="77"/>
      <c r="E29" s="77"/>
      <c r="F29" s="79"/>
      <c r="G29" s="80"/>
      <c r="H29" s="80"/>
    </row>
    <row r="30" spans="1:8" x14ac:dyDescent="0.2">
      <c r="A30" s="82"/>
      <c r="B30" s="77"/>
      <c r="C30" s="77"/>
      <c r="D30" s="77"/>
      <c r="E30" s="77"/>
      <c r="F30" s="129"/>
      <c r="G30" s="80"/>
      <c r="H30" s="80"/>
    </row>
    <row r="31" spans="1:8" x14ac:dyDescent="0.2">
      <c r="A31" s="92" t="s">
        <v>59</v>
      </c>
      <c r="B31" s="77"/>
      <c r="C31" s="77"/>
      <c r="D31" s="77"/>
      <c r="E31" s="77"/>
      <c r="F31" s="129"/>
      <c r="G31" s="80"/>
      <c r="H31" s="80"/>
    </row>
    <row r="32" spans="1:8" x14ac:dyDescent="0.2">
      <c r="A32" s="93" t="s">
        <v>60</v>
      </c>
      <c r="B32" s="77"/>
      <c r="C32" s="77"/>
      <c r="D32" s="77"/>
      <c r="E32" s="77"/>
      <c r="F32" s="79"/>
      <c r="G32" s="80"/>
      <c r="H32" s="80"/>
    </row>
    <row r="33" spans="1:8" x14ac:dyDescent="0.2">
      <c r="A33" s="92"/>
      <c r="B33" s="77"/>
      <c r="C33" s="77"/>
      <c r="D33" s="77"/>
      <c r="E33" s="77"/>
      <c r="F33" s="79"/>
      <c r="G33" s="80"/>
      <c r="H33" s="80"/>
    </row>
    <row r="34" spans="1:8" x14ac:dyDescent="0.2">
      <c r="A34" s="92"/>
      <c r="B34" s="94"/>
      <c r="C34" s="94"/>
      <c r="D34" s="94"/>
      <c r="E34" s="94"/>
      <c r="F34" s="96"/>
      <c r="G34" s="97"/>
      <c r="H34" s="97"/>
    </row>
    <row r="35" spans="1:8" ht="13.5" thickBot="1" x14ac:dyDescent="0.25">
      <c r="A35" s="87" t="s">
        <v>20</v>
      </c>
      <c r="B35" s="88"/>
      <c r="C35" s="88"/>
      <c r="D35" s="88"/>
      <c r="E35" s="88"/>
      <c r="F35" s="90"/>
      <c r="G35" s="91"/>
      <c r="H35" s="91"/>
    </row>
    <row r="36" spans="1:8" ht="13.5" thickTop="1" x14ac:dyDescent="0.2">
      <c r="A36" s="76"/>
      <c r="B36" s="127" t="s">
        <v>391</v>
      </c>
      <c r="C36" s="146" t="s">
        <v>255</v>
      </c>
      <c r="D36" s="127"/>
      <c r="E36" s="127" t="s">
        <v>392</v>
      </c>
      <c r="F36" s="127" t="s">
        <v>392</v>
      </c>
      <c r="G36" s="80"/>
      <c r="H36" s="80"/>
    </row>
    <row r="37" spans="1:8" x14ac:dyDescent="0.2">
      <c r="A37" s="98"/>
      <c r="B37" s="127" t="s">
        <v>166</v>
      </c>
      <c r="C37" s="77" t="s">
        <v>25</v>
      </c>
      <c r="D37" s="77"/>
      <c r="E37" s="77"/>
      <c r="F37" s="129"/>
      <c r="G37" s="80"/>
      <c r="H37" s="80"/>
    </row>
    <row r="38" spans="1:8" x14ac:dyDescent="0.2">
      <c r="A38" s="92" t="s">
        <v>279</v>
      </c>
      <c r="B38" s="77" t="s">
        <v>25</v>
      </c>
      <c r="C38" s="77"/>
      <c r="D38" s="154" t="s">
        <v>357</v>
      </c>
      <c r="E38" s="77"/>
      <c r="F38" s="79"/>
      <c r="G38" s="80"/>
      <c r="H38" s="80"/>
    </row>
    <row r="39" spans="1:8" x14ac:dyDescent="0.2">
      <c r="A39" s="93" t="s">
        <v>67</v>
      </c>
      <c r="B39" s="77"/>
      <c r="C39" s="77"/>
      <c r="D39" s="77"/>
      <c r="E39" s="77"/>
      <c r="F39" s="79"/>
      <c r="G39" s="80"/>
      <c r="H39" s="80"/>
    </row>
    <row r="40" spans="1:8" x14ac:dyDescent="0.2">
      <c r="A40" s="92"/>
      <c r="B40" s="83"/>
      <c r="C40" s="83"/>
      <c r="D40" s="83"/>
      <c r="E40" s="83"/>
      <c r="F40" s="85"/>
      <c r="G40" s="86"/>
      <c r="H40" s="86"/>
    </row>
    <row r="41" spans="1:8" ht="13.5" thickBot="1" x14ac:dyDescent="0.25">
      <c r="A41" s="87" t="s">
        <v>20</v>
      </c>
      <c r="B41" s="88" t="s">
        <v>393</v>
      </c>
      <c r="C41" s="88" t="s">
        <v>393</v>
      </c>
      <c r="D41" s="88" t="s">
        <v>393</v>
      </c>
      <c r="E41" s="88" t="s">
        <v>210</v>
      </c>
      <c r="F41" s="88" t="s">
        <v>210</v>
      </c>
      <c r="G41" s="91"/>
      <c r="H41" s="91"/>
    </row>
    <row r="42" spans="1:8" ht="13.5" thickTop="1" x14ac:dyDescent="0.2">
      <c r="A42" s="76"/>
      <c r="B42" s="100"/>
      <c r="C42" s="100"/>
      <c r="D42" s="100"/>
      <c r="E42" s="100"/>
      <c r="F42" s="102"/>
      <c r="G42" s="103"/>
      <c r="H42" s="103"/>
    </row>
    <row r="43" spans="1:8" x14ac:dyDescent="0.2">
      <c r="A43" s="92" t="s">
        <v>71</v>
      </c>
      <c r="B43" s="100"/>
      <c r="C43" s="100"/>
      <c r="D43" s="100"/>
      <c r="E43" s="100"/>
      <c r="F43" s="102"/>
      <c r="G43" s="103"/>
      <c r="H43" s="103"/>
    </row>
    <row r="44" spans="1:8" x14ac:dyDescent="0.2">
      <c r="A44" s="93" t="s">
        <v>72</v>
      </c>
      <c r="B44" s="104"/>
      <c r="C44" s="104"/>
      <c r="D44" s="104"/>
      <c r="E44" s="104"/>
      <c r="F44" s="106"/>
      <c r="G44" s="107"/>
      <c r="H44" s="107"/>
    </row>
    <row r="45" spans="1:8" ht="13.5" thickBot="1" x14ac:dyDescent="0.25">
      <c r="A45" s="87" t="s">
        <v>20</v>
      </c>
      <c r="B45" s="108"/>
      <c r="C45" s="108"/>
      <c r="D45" s="108"/>
      <c r="E45" s="108"/>
      <c r="F45" s="110"/>
      <c r="G45" s="111"/>
      <c r="H45" s="111"/>
    </row>
    <row r="46" spans="1:8" ht="13.5" thickTop="1" x14ac:dyDescent="0.2">
      <c r="A46" s="112" t="s">
        <v>280</v>
      </c>
      <c r="B46" s="113"/>
      <c r="C46" s="113"/>
      <c r="D46" s="113"/>
      <c r="E46" s="151"/>
      <c r="F46" s="113"/>
      <c r="G46" s="113"/>
      <c r="H46" s="113"/>
    </row>
    <row r="47" spans="1:8" x14ac:dyDescent="0.2">
      <c r="A47" s="114" t="s">
        <v>282</v>
      </c>
      <c r="B47" s="113"/>
      <c r="C47" s="151" t="s">
        <v>52</v>
      </c>
      <c r="D47" s="113"/>
      <c r="G47" s="113"/>
      <c r="H47" s="113"/>
    </row>
    <row r="48" spans="1:8" x14ac:dyDescent="0.2">
      <c r="A48" s="163" t="s">
        <v>394</v>
      </c>
      <c r="B48" s="163"/>
      <c r="C48" s="163"/>
      <c r="D48" s="163"/>
      <c r="E48" s="164" t="s">
        <v>395</v>
      </c>
      <c r="F48" s="164" t="s">
        <v>395</v>
      </c>
      <c r="G48" s="113"/>
      <c r="H48" s="113"/>
    </row>
    <row r="49" spans="1:8" x14ac:dyDescent="0.2">
      <c r="A49" s="115"/>
      <c r="B49" s="113"/>
      <c r="C49" s="113"/>
      <c r="D49" s="113"/>
      <c r="E49" s="113"/>
      <c r="F49" s="113"/>
      <c r="G49" s="113"/>
      <c r="H49" s="113"/>
    </row>
    <row r="50" spans="1:8" ht="13.5" thickBot="1" x14ac:dyDescent="0.25">
      <c r="A50" s="250" t="s">
        <v>75</v>
      </c>
      <c r="B50" s="249" t="s">
        <v>76</v>
      </c>
      <c r="C50" s="113"/>
      <c r="D50" s="113"/>
      <c r="E50" s="113"/>
      <c r="F50" s="113"/>
      <c r="G50" s="113"/>
      <c r="H50" s="113"/>
    </row>
    <row r="51" spans="1:8" ht="13.5" thickTop="1" x14ac:dyDescent="0.2">
      <c r="A51" s="115"/>
      <c r="B51" s="116"/>
      <c r="C51" s="116"/>
      <c r="D51" s="116"/>
      <c r="E51" s="116"/>
      <c r="F51" s="116"/>
      <c r="G51" s="116"/>
      <c r="H51" s="116"/>
    </row>
    <row r="52" spans="1:8" x14ac:dyDescent="0.2">
      <c r="A52" s="117"/>
      <c r="B52" s="116"/>
      <c r="C52" s="116"/>
      <c r="D52" s="116"/>
      <c r="E52" s="116"/>
      <c r="F52" s="116"/>
      <c r="G52" s="116"/>
      <c r="H52" s="116"/>
    </row>
    <row r="53" spans="1:8" x14ac:dyDescent="0.2">
      <c r="A53" s="117"/>
      <c r="B53" s="116"/>
      <c r="C53" s="116"/>
      <c r="D53" s="116"/>
      <c r="E53" s="116"/>
      <c r="F53" s="116"/>
      <c r="G53" s="116"/>
      <c r="H53" s="116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5"/>
      <c r="B59" s="118"/>
      <c r="C59" s="118"/>
      <c r="D59" s="118"/>
      <c r="E59" s="118"/>
      <c r="F59" s="118"/>
      <c r="G59" s="118"/>
      <c r="H59" s="118"/>
    </row>
    <row r="60" spans="1:8" x14ac:dyDescent="0.2">
      <c r="A60" s="115"/>
      <c r="B60" s="118"/>
      <c r="C60" s="118"/>
      <c r="D60" s="118"/>
      <c r="E60" s="118"/>
      <c r="F60" s="118"/>
      <c r="G60" s="118"/>
      <c r="H60" s="118"/>
    </row>
    <row r="61" spans="1:8" x14ac:dyDescent="0.2">
      <c r="A61" s="117"/>
      <c r="B61" s="118"/>
      <c r="C61" s="118"/>
      <c r="D61" s="118"/>
      <c r="E61" s="118"/>
      <c r="F61" s="118"/>
      <c r="G61" s="118"/>
      <c r="H61" s="118"/>
    </row>
    <row r="62" spans="1:8" x14ac:dyDescent="0.2">
      <c r="A62" s="117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  <row r="141" spans="1:8" x14ac:dyDescent="0.2">
      <c r="A141" s="115"/>
      <c r="B141" s="118"/>
      <c r="C141" s="118"/>
      <c r="D141" s="118"/>
      <c r="E141" s="118"/>
      <c r="F141" s="118"/>
      <c r="G141" s="118"/>
      <c r="H141" s="118"/>
    </row>
  </sheetData>
  <customSheetViews>
    <customSheetView guid="{413CAF1F-62E2-41F5-A4C6-2C341582DC5D}" scale="80" showPageBreaks="1" printArea="1" hiddenRows="1">
      <pane ySplit="1" topLeftCell="A2" activePane="bottomLeft" state="frozen"/>
      <selection pane="bottomLeft" activeCell="F10" sqref="F10"/>
      <pageMargins left="0" right="0" top="0" bottom="0" header="0" footer="0"/>
      <printOptions gridLines="1"/>
      <pageSetup paperSize="9" scale="70" orientation="landscape" r:id="rId1"/>
      <headerFooter alignWithMargins="0">
        <oddHeader>&amp;C2019.05.13-19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F14" sqref="F14"/>
      <pageMargins left="0" right="0" top="0" bottom="0" header="0" footer="0"/>
      <printOptions gridLines="1"/>
      <pageSetup paperSize="8" scale="95" orientation="landscape" r:id="rId2"/>
      <headerFooter alignWithMargins="0">
        <oddHeader>&amp;C2019.05.13-19</oddHeader>
      </headerFooter>
    </customSheetView>
    <customSheetView guid="{07BAD8F1-49B6-40C7-A1B5-B8EF23A4A904}" scale="80" showPageBreaks="1" printArea="1" hiddenRows="1">
      <pane ySplit="1" topLeftCell="A2" activePane="bottomLeft" state="frozen"/>
      <selection pane="bottomLeft" activeCell="F10" sqref="F10"/>
      <pageMargins left="0" right="0" top="0" bottom="0" header="0" footer="0"/>
      <printOptions gridLines="1"/>
      <pageSetup paperSize="9" scale="70" orientation="landscape" r:id="rId3"/>
      <headerFooter alignWithMargins="0">
        <oddHeader>&amp;C2019.05.13-19</oddHeader>
      </headerFooter>
    </customSheetView>
    <customSheetView guid="{4B58F0A9-071E-4376-B7AD-463366669E19}" scale="80" hiddenRows="1">
      <pane ySplit="1" topLeftCell="A2" activePane="bottomLeft" state="frozen"/>
      <selection pane="bottomLeft" activeCell="F10" sqref="F10"/>
      <pageMargins left="0" right="0" top="0" bottom="0" header="0" footer="0"/>
      <printOptions gridLines="1"/>
      <pageSetup paperSize="9" scale="70" orientation="landscape" r:id="rId4"/>
      <headerFooter alignWithMargins="0">
        <oddHeader>&amp;C2019.05.13-19</oddHeader>
      </headerFooter>
    </customSheetView>
    <customSheetView guid="{63A8D7FC-210D-4D74-8AB0-DBA9D993D16B}" scale="80" showPageBreaks="1" printArea="1" hiddenRows="1">
      <pane ySplit="1" topLeftCell="A2" activePane="bottomLeft" state="frozen"/>
      <selection pane="bottomLeft" activeCell="F10" sqref="F10"/>
      <pageMargins left="0" right="0" top="0" bottom="0" header="0" footer="0"/>
      <printOptions gridLines="1"/>
      <pageSetup paperSize="9" scale="70" orientation="landscape" r:id="rId5"/>
      <headerFooter alignWithMargins="0">
        <oddHeader>&amp;C2019.05.13-19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F6" sqref="F6"/>
      <pageMargins left="0" right="0" top="0" bottom="0" header="0" footer="0"/>
      <printOptions gridLines="1"/>
      <pageSetup paperSize="8" scale="95" orientation="landscape" r:id="rId6"/>
      <headerFooter alignWithMargins="0">
        <oddHeader>&amp;C2019.05.13-19</oddHeader>
      </headerFooter>
    </customSheetView>
    <customSheetView guid="{D4470CD2-528C-41AD-9E69-DB221017C7C0}" scale="80" showPageBreaks="1" printArea="1" hiddenRows="1">
      <pane ySplit="1" topLeftCell="A2" activePane="bottomLeft" state="frozen"/>
      <selection pane="bottomLeft" activeCell="F10" sqref="F10"/>
      <pageMargins left="0" right="0" top="0" bottom="0" header="0" footer="0"/>
      <printOptions gridLines="1"/>
      <pageSetup paperSize="9" scale="70" orientation="landscape" r:id="rId7"/>
      <headerFooter alignWithMargins="0">
        <oddHeader>&amp;C2019.05.13-19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42" sqref="E42"/>
      <pageMargins left="0" right="0" top="0" bottom="0" header="0" footer="0"/>
      <printOptions gridLines="1"/>
      <pageSetup paperSize="8" scale="95" orientation="landscape" r:id="rId8"/>
      <headerFooter alignWithMargins="0">
        <oddHeader>&amp;C2019.05.13-19</oddHeader>
      </headerFooter>
    </customSheetView>
    <customSheetView guid="{A47E18E7-D250-4913-909E-65F626A4EC80}" scale="80" showPageBreaks="1" printArea="1" hiddenRows="1">
      <pane ySplit="1" topLeftCell="A2" activePane="bottomLeft" state="frozen"/>
      <selection pane="bottomLeft" activeCell="F10" sqref="F10"/>
      <pageMargins left="0" right="0" top="0" bottom="0" header="0" footer="0"/>
      <printOptions gridLines="1"/>
      <pageSetup paperSize="9" scale="70" orientation="landscape" r:id="rId9"/>
      <headerFooter alignWithMargins="0">
        <oddHeader>&amp;C2019.05.13-19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F6" sqref="F6"/>
      <pageMargins left="0" right="0" top="0" bottom="0" header="0" footer="0"/>
      <printOptions gridLines="1"/>
      <pageSetup paperSize="8" scale="95" orientation="landscape" r:id="rId10"/>
      <headerFooter alignWithMargins="0">
        <oddHeader>&amp;C2019.05.13-19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F18" sqref="F18"/>
      <pageMargins left="0" right="0" top="0" bottom="0" header="0" footer="0"/>
      <printOptions gridLines="1"/>
      <pageSetup paperSize="8" scale="95" orientation="landscape" r:id="rId11"/>
      <headerFooter alignWithMargins="0">
        <oddHeader>&amp;C2019.05.13-19</oddHeader>
      </headerFooter>
    </customSheetView>
    <customSheetView guid="{0D091791-6928-48DD-B75F-0677FDB23A54}" scale="80" showPageBreaks="1" printArea="1" hiddenRows="1">
      <pane ySplit="1" topLeftCell="A2" activePane="bottomLeft" state="frozen"/>
      <selection pane="bottomLeft" activeCell="F10" sqref="F10"/>
      <pageMargins left="0" right="0" top="0" bottom="0" header="0" footer="0"/>
      <printOptions gridLines="1"/>
      <pageSetup paperSize="9" scale="70" orientation="landscape" r:id="rId12"/>
      <headerFooter alignWithMargins="0">
        <oddHeader>&amp;C2019.05.13-19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9" scale="70" orientation="landscape" r:id="rId13"/>
  <headerFooter alignWithMargins="0">
    <oddHeader>&amp;C2019.05.13-19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Munka8"/>
  <dimension ref="A1:K141"/>
  <sheetViews>
    <sheetView zoomScale="80" zoomScaleNormal="80" zoomScaleSheetLayoutView="40" workbookViewId="0">
      <pane ySplit="1" topLeftCell="A2" activePane="bottomLeft" state="frozen"/>
      <selection pane="bottomLeft" activeCell="I19" sqref="I19"/>
    </sheetView>
  </sheetViews>
  <sheetFormatPr defaultColWidth="9.140625" defaultRowHeight="12.75" x14ac:dyDescent="0.2"/>
  <cols>
    <col min="1" max="1" width="12.28515625" style="119" customWidth="1"/>
    <col min="2" max="5" width="29.28515625" style="69" customWidth="1"/>
    <col min="6" max="6" width="26" style="69" customWidth="1"/>
    <col min="7" max="7" width="15.5703125" style="69" customWidth="1"/>
    <col min="8" max="8" width="16.7109375" style="69" customWidth="1"/>
    <col min="9" max="9" width="8.140625" style="69" customWidth="1"/>
    <col min="10" max="16384" width="9.140625" style="69"/>
  </cols>
  <sheetData>
    <row r="1" spans="1:11" ht="28.5" customHeight="1" thickTop="1" thickBot="1" x14ac:dyDescent="0.25">
      <c r="A1" s="64" t="s">
        <v>396</v>
      </c>
      <c r="B1" s="176" t="s">
        <v>397</v>
      </c>
      <c r="C1" s="65" t="s">
        <v>398</v>
      </c>
      <c r="D1" s="65" t="s">
        <v>399</v>
      </c>
      <c r="E1" s="65" t="s">
        <v>400</v>
      </c>
      <c r="F1" s="65" t="s">
        <v>401</v>
      </c>
      <c r="G1" s="67" t="s">
        <v>402</v>
      </c>
      <c r="H1" s="67" t="s">
        <v>403</v>
      </c>
      <c r="I1" s="68"/>
    </row>
    <row r="2" spans="1:11" ht="15" customHeight="1" x14ac:dyDescent="0.2">
      <c r="A2" s="70"/>
      <c r="B2" s="122" t="s">
        <v>404</v>
      </c>
      <c r="C2" s="175"/>
      <c r="D2" s="174" t="s">
        <v>405</v>
      </c>
      <c r="E2" s="174" t="s">
        <v>406</v>
      </c>
      <c r="F2" s="128" t="s">
        <v>407</v>
      </c>
      <c r="G2" s="181"/>
      <c r="H2" s="74"/>
      <c r="I2" s="75"/>
    </row>
    <row r="3" spans="1:11" ht="15" customHeight="1" x14ac:dyDescent="0.2">
      <c r="A3" s="76"/>
      <c r="B3" s="127" t="s">
        <v>408</v>
      </c>
      <c r="C3" s="138"/>
      <c r="D3" s="154"/>
      <c r="E3" s="154" t="s">
        <v>409</v>
      </c>
      <c r="F3" s="127" t="s">
        <v>404</v>
      </c>
      <c r="G3" s="177"/>
      <c r="H3" s="80"/>
      <c r="I3" s="75"/>
    </row>
    <row r="4" spans="1:11" ht="15" customHeight="1" x14ac:dyDescent="0.2">
      <c r="A4" s="76" t="s">
        <v>18</v>
      </c>
      <c r="B4" s="127"/>
      <c r="C4" s="138"/>
      <c r="D4" s="154"/>
      <c r="E4" s="154" t="s">
        <v>410</v>
      </c>
      <c r="F4" s="79"/>
      <c r="G4" s="177"/>
      <c r="H4" s="80"/>
    </row>
    <row r="5" spans="1:11" ht="15" customHeight="1" x14ac:dyDescent="0.2">
      <c r="A5" s="81" t="s">
        <v>19</v>
      </c>
      <c r="B5" s="77"/>
      <c r="C5" s="138"/>
      <c r="D5" s="154"/>
      <c r="E5" s="154" t="s">
        <v>411</v>
      </c>
      <c r="F5" s="79"/>
      <c r="G5" s="177"/>
      <c r="H5" s="80"/>
    </row>
    <row r="6" spans="1:11" ht="15" customHeight="1" x14ac:dyDescent="0.2">
      <c r="A6" s="81"/>
      <c r="B6" s="77"/>
      <c r="C6" s="138"/>
      <c r="D6" s="154"/>
      <c r="E6" s="154" t="s">
        <v>412</v>
      </c>
      <c r="F6" s="79"/>
      <c r="G6" s="177"/>
      <c r="H6" s="80"/>
    </row>
    <row r="7" spans="1:11" ht="15" customHeight="1" x14ac:dyDescent="0.2">
      <c r="A7" s="81"/>
      <c r="B7" s="77"/>
      <c r="C7" s="138"/>
      <c r="D7" s="154"/>
      <c r="E7" s="154" t="s">
        <v>413</v>
      </c>
      <c r="F7" s="79"/>
      <c r="G7" s="177"/>
      <c r="H7" s="80"/>
    </row>
    <row r="8" spans="1:11" ht="15" customHeight="1" x14ac:dyDescent="0.2">
      <c r="A8" s="81"/>
      <c r="B8" s="77"/>
      <c r="C8" s="138"/>
      <c r="D8" s="154"/>
      <c r="E8" s="154" t="s">
        <v>414</v>
      </c>
      <c r="F8" s="79"/>
      <c r="G8" s="177"/>
      <c r="H8" s="80"/>
    </row>
    <row r="9" spans="1:11" ht="15" customHeight="1" x14ac:dyDescent="0.2">
      <c r="A9" s="81"/>
      <c r="B9" s="77"/>
      <c r="C9" s="138"/>
      <c r="D9" s="154"/>
      <c r="E9" s="152" t="s">
        <v>415</v>
      </c>
      <c r="F9" s="79"/>
      <c r="G9" s="177"/>
      <c r="H9" s="80"/>
    </row>
    <row r="10" spans="1:11" ht="15" customHeight="1" x14ac:dyDescent="0.2">
      <c r="A10" s="82"/>
      <c r="B10" s="83"/>
      <c r="C10" s="139"/>
      <c r="D10" s="155"/>
      <c r="E10" s="180" t="s">
        <v>416</v>
      </c>
      <c r="F10" s="85"/>
      <c r="G10" s="178"/>
      <c r="H10" s="86"/>
    </row>
    <row r="11" spans="1:11" ht="15" customHeight="1" thickBot="1" x14ac:dyDescent="0.25">
      <c r="A11" s="159" t="s">
        <v>20</v>
      </c>
      <c r="B11" s="209" t="s">
        <v>363</v>
      </c>
      <c r="C11" s="211"/>
      <c r="D11" s="212" t="s">
        <v>363</v>
      </c>
      <c r="E11" s="213" t="s">
        <v>363</v>
      </c>
      <c r="F11" s="209" t="s">
        <v>363</v>
      </c>
      <c r="G11" s="179"/>
      <c r="H11" s="91"/>
    </row>
    <row r="12" spans="1:11" ht="15" customHeight="1" thickTop="1" x14ac:dyDescent="0.2">
      <c r="A12" s="82"/>
      <c r="B12" s="152" t="s">
        <v>262</v>
      </c>
      <c r="C12" s="122" t="s">
        <v>417</v>
      </c>
      <c r="D12" s="138" t="s">
        <v>328</v>
      </c>
      <c r="E12" s="154" t="s">
        <v>418</v>
      </c>
      <c r="F12" s="129" t="s">
        <v>419</v>
      </c>
      <c r="G12" s="177"/>
      <c r="H12" s="80"/>
    </row>
    <row r="13" spans="1:11" ht="15" customHeight="1" x14ac:dyDescent="0.2">
      <c r="A13" s="82"/>
      <c r="B13" s="152" t="s">
        <v>262</v>
      </c>
      <c r="C13" s="127" t="s">
        <v>405</v>
      </c>
      <c r="D13" s="138" t="s">
        <v>329</v>
      </c>
      <c r="E13" s="152" t="s">
        <v>420</v>
      </c>
      <c r="F13" s="129" t="s">
        <v>421</v>
      </c>
      <c r="G13" s="177"/>
      <c r="H13" s="80"/>
    </row>
    <row r="14" spans="1:11" ht="15" customHeight="1" x14ac:dyDescent="0.2">
      <c r="A14" s="92" t="s">
        <v>18</v>
      </c>
      <c r="B14" s="154"/>
      <c r="C14" s="77"/>
      <c r="D14" s="138"/>
      <c r="E14" s="154" t="s">
        <v>340</v>
      </c>
      <c r="F14" s="77" t="s">
        <v>422</v>
      </c>
      <c r="G14" s="177"/>
      <c r="H14" s="80"/>
    </row>
    <row r="15" spans="1:11" ht="15" customHeight="1" x14ac:dyDescent="0.2">
      <c r="A15" s="93" t="s">
        <v>30</v>
      </c>
      <c r="B15" s="154"/>
      <c r="C15" s="77"/>
      <c r="D15" s="157"/>
      <c r="E15" s="152" t="s">
        <v>423</v>
      </c>
      <c r="F15" s="77"/>
      <c r="G15" s="177"/>
      <c r="H15" s="80"/>
      <c r="K15" s="118"/>
    </row>
    <row r="16" spans="1:11" ht="15" customHeight="1" x14ac:dyDescent="0.2">
      <c r="A16" s="82"/>
      <c r="B16" s="154"/>
      <c r="C16" s="77"/>
      <c r="D16" s="138"/>
      <c r="E16" s="154"/>
      <c r="F16" s="79" t="s">
        <v>424</v>
      </c>
      <c r="G16" s="177"/>
      <c r="H16" s="80"/>
    </row>
    <row r="17" spans="1:10" ht="15" customHeight="1" x14ac:dyDescent="0.2">
      <c r="A17" s="82"/>
      <c r="B17" s="155"/>
      <c r="C17" s="83"/>
      <c r="D17" s="139"/>
      <c r="E17" s="155"/>
      <c r="F17" s="85"/>
      <c r="G17" s="178"/>
      <c r="H17" s="86"/>
    </row>
    <row r="18" spans="1:10" ht="15" customHeight="1" thickBot="1" x14ac:dyDescent="0.25">
      <c r="A18" s="87" t="s">
        <v>20</v>
      </c>
      <c r="B18" s="212" t="s">
        <v>31</v>
      </c>
      <c r="C18" s="209" t="s">
        <v>31</v>
      </c>
      <c r="D18" s="210" t="s">
        <v>31</v>
      </c>
      <c r="E18" s="214" t="s">
        <v>31</v>
      </c>
      <c r="F18" s="209" t="s">
        <v>31</v>
      </c>
      <c r="G18" s="179"/>
      <c r="H18" s="91"/>
    </row>
    <row r="19" spans="1:10" ht="15" customHeight="1" thickTop="1" x14ac:dyDescent="0.2">
      <c r="A19" s="82"/>
      <c r="B19" s="152" t="s">
        <v>425</v>
      </c>
      <c r="C19" s="122" t="s">
        <v>426</v>
      </c>
      <c r="D19" s="171" t="s">
        <v>427</v>
      </c>
      <c r="E19" s="122" t="s">
        <v>428</v>
      </c>
      <c r="F19" s="167"/>
      <c r="G19" s="80"/>
      <c r="H19" s="80"/>
    </row>
    <row r="20" spans="1:10" ht="15" customHeight="1" x14ac:dyDescent="0.2">
      <c r="A20" s="82"/>
      <c r="B20" s="152" t="s">
        <v>429</v>
      </c>
      <c r="C20" s="127" t="s">
        <v>430</v>
      </c>
      <c r="D20" s="77" t="s">
        <v>431</v>
      </c>
      <c r="E20" s="127" t="s">
        <v>432</v>
      </c>
      <c r="F20" s="167" t="s">
        <v>433</v>
      </c>
      <c r="G20" s="80"/>
      <c r="H20" s="80"/>
      <c r="J20" s="118"/>
    </row>
    <row r="21" spans="1:10" ht="15" customHeight="1" x14ac:dyDescent="0.2">
      <c r="A21" s="92" t="s">
        <v>41</v>
      </c>
      <c r="B21" s="152" t="s">
        <v>434</v>
      </c>
      <c r="C21" s="127" t="s">
        <v>435</v>
      </c>
      <c r="D21" s="170"/>
      <c r="E21" s="127" t="s">
        <v>436</v>
      </c>
      <c r="F21" s="129" t="s">
        <v>437</v>
      </c>
      <c r="G21" s="80"/>
      <c r="H21" s="80"/>
    </row>
    <row r="22" spans="1:10" ht="15" customHeight="1" x14ac:dyDescent="0.2">
      <c r="A22" s="92"/>
      <c r="B22" s="152"/>
      <c r="C22" s="77"/>
      <c r="D22" s="170"/>
      <c r="E22" s="77" t="s">
        <v>438</v>
      </c>
      <c r="F22" s="191" t="s">
        <v>439</v>
      </c>
      <c r="G22" s="80"/>
      <c r="H22" s="80"/>
    </row>
    <row r="23" spans="1:10" ht="15" customHeight="1" x14ac:dyDescent="0.2">
      <c r="A23" s="93" t="s">
        <v>43</v>
      </c>
      <c r="B23" s="154" t="s">
        <v>440</v>
      </c>
      <c r="C23" s="77" t="s">
        <v>441</v>
      </c>
      <c r="D23" s="170"/>
      <c r="E23" s="127" t="s">
        <v>442</v>
      </c>
      <c r="F23" s="192" t="s">
        <v>443</v>
      </c>
      <c r="G23" s="80"/>
      <c r="H23" s="80"/>
      <c r="J23" s="118"/>
    </row>
    <row r="24" spans="1:10" x14ac:dyDescent="0.2">
      <c r="A24" s="82"/>
      <c r="B24" s="155" t="s">
        <v>16</v>
      </c>
      <c r="C24" s="83"/>
      <c r="D24" s="172"/>
      <c r="E24" s="83"/>
      <c r="F24" s="169"/>
      <c r="G24" s="86"/>
      <c r="H24" s="86"/>
    </row>
    <row r="25" spans="1:10" ht="13.5" thickBot="1" x14ac:dyDescent="0.25">
      <c r="A25" s="87" t="s">
        <v>20</v>
      </c>
      <c r="B25" s="156" t="s">
        <v>224</v>
      </c>
      <c r="C25" s="158" t="s">
        <v>444</v>
      </c>
      <c r="D25" s="173" t="s">
        <v>445</v>
      </c>
      <c r="E25" s="158" t="s">
        <v>445</v>
      </c>
      <c r="F25" s="140" t="s">
        <v>446</v>
      </c>
      <c r="G25" s="91"/>
      <c r="H25" s="91"/>
    </row>
    <row r="26" spans="1:10" ht="13.5" hidden="1" thickTop="1" x14ac:dyDescent="0.2">
      <c r="A26" s="82"/>
      <c r="B26" s="77"/>
      <c r="C26" s="77"/>
      <c r="D26" s="77"/>
      <c r="E26" s="77"/>
      <c r="F26" s="79"/>
      <c r="G26" s="80"/>
      <c r="H26" s="80"/>
    </row>
    <row r="27" spans="1:10" hidden="1" x14ac:dyDescent="0.2">
      <c r="A27" s="82"/>
      <c r="B27" s="77"/>
      <c r="C27" s="77"/>
      <c r="D27" s="77"/>
      <c r="E27" s="77"/>
      <c r="F27" s="79"/>
      <c r="G27" s="80"/>
      <c r="H27" s="80"/>
    </row>
    <row r="28" spans="1:10" hidden="1" x14ac:dyDescent="0.2">
      <c r="A28" s="92" t="s">
        <v>41</v>
      </c>
      <c r="B28" s="77"/>
      <c r="C28" s="77"/>
      <c r="D28" s="77"/>
      <c r="E28" s="77"/>
      <c r="F28" s="79"/>
      <c r="G28" s="80"/>
      <c r="H28" s="80"/>
    </row>
    <row r="29" spans="1:10" hidden="1" x14ac:dyDescent="0.2">
      <c r="A29" s="93" t="s">
        <v>50</v>
      </c>
      <c r="B29" s="77"/>
      <c r="C29" s="77"/>
      <c r="D29" s="77"/>
      <c r="E29" s="77"/>
      <c r="F29" s="79"/>
      <c r="G29" s="80"/>
      <c r="H29" s="80"/>
    </row>
    <row r="30" spans="1:10" hidden="1" x14ac:dyDescent="0.2">
      <c r="A30" s="82"/>
      <c r="B30" s="77"/>
      <c r="C30" s="77"/>
      <c r="D30" s="77"/>
      <c r="E30" s="77"/>
      <c r="F30" s="79"/>
      <c r="G30" s="80"/>
      <c r="H30" s="80"/>
    </row>
    <row r="31" spans="1:10" hidden="1" x14ac:dyDescent="0.2">
      <c r="A31" s="82"/>
      <c r="B31" s="83"/>
      <c r="C31" s="83"/>
      <c r="D31" s="83"/>
      <c r="E31" s="83"/>
      <c r="F31" s="85"/>
      <c r="G31" s="86"/>
      <c r="H31" s="86"/>
    </row>
    <row r="32" spans="1:10" ht="13.5" hidden="1" thickBot="1" x14ac:dyDescent="0.25">
      <c r="A32" s="87" t="s">
        <v>20</v>
      </c>
      <c r="B32" s="88"/>
      <c r="C32" s="88"/>
      <c r="D32" s="88"/>
      <c r="E32" s="88"/>
      <c r="F32" s="90"/>
      <c r="G32" s="91"/>
      <c r="H32" s="91"/>
    </row>
    <row r="33" spans="1:10" ht="13.5" thickTop="1" x14ac:dyDescent="0.2">
      <c r="A33" s="76"/>
      <c r="B33" s="127" t="s">
        <v>447</v>
      </c>
      <c r="C33" s="77"/>
      <c r="D33" s="77"/>
      <c r="E33" s="77"/>
      <c r="F33" s="73" t="s">
        <v>25</v>
      </c>
      <c r="G33" s="80"/>
      <c r="H33" s="80"/>
      <c r="J33" s="118"/>
    </row>
    <row r="34" spans="1:10" x14ac:dyDescent="0.2">
      <c r="A34" s="82"/>
      <c r="B34" s="127" t="s">
        <v>448</v>
      </c>
      <c r="C34" s="77"/>
      <c r="D34" s="77"/>
      <c r="E34" s="77"/>
      <c r="F34" s="129"/>
      <c r="G34" s="80"/>
      <c r="H34" s="80"/>
      <c r="J34" s="118"/>
    </row>
    <row r="35" spans="1:10" x14ac:dyDescent="0.2">
      <c r="A35" s="92" t="s">
        <v>59</v>
      </c>
      <c r="B35" s="77"/>
      <c r="C35" s="77"/>
      <c r="D35" s="77"/>
      <c r="E35" s="77"/>
      <c r="F35" s="79"/>
      <c r="G35" s="80"/>
      <c r="H35" s="80"/>
    </row>
    <row r="36" spans="1:10" x14ac:dyDescent="0.2">
      <c r="A36" s="93" t="s">
        <v>60</v>
      </c>
      <c r="B36" s="77"/>
      <c r="C36" s="77"/>
      <c r="D36" s="77"/>
      <c r="E36" s="77"/>
      <c r="F36" s="79"/>
      <c r="G36" s="80"/>
      <c r="H36" s="80"/>
    </row>
    <row r="37" spans="1:10" x14ac:dyDescent="0.2">
      <c r="A37" s="92"/>
      <c r="B37" s="77"/>
      <c r="C37" s="77"/>
      <c r="D37" s="77"/>
      <c r="E37" s="77"/>
      <c r="F37" s="79"/>
      <c r="G37" s="80"/>
      <c r="H37" s="80"/>
    </row>
    <row r="38" spans="1:10" x14ac:dyDescent="0.2">
      <c r="A38" s="92"/>
      <c r="B38" s="94"/>
      <c r="C38" s="94"/>
      <c r="D38" s="94"/>
      <c r="E38" s="94"/>
      <c r="F38" s="96"/>
      <c r="G38" s="97"/>
      <c r="H38" s="97"/>
    </row>
    <row r="39" spans="1:10" ht="13.5" thickBot="1" x14ac:dyDescent="0.25">
      <c r="A39" s="87" t="s">
        <v>20</v>
      </c>
      <c r="B39" s="88" t="s">
        <v>445</v>
      </c>
      <c r="C39" s="88"/>
      <c r="D39" s="88"/>
      <c r="E39" s="88"/>
      <c r="F39" s="204" t="s">
        <v>153</v>
      </c>
      <c r="G39" s="91"/>
      <c r="H39" s="91"/>
    </row>
    <row r="40" spans="1:10" ht="13.5" thickTop="1" x14ac:dyDescent="0.2">
      <c r="A40" s="76"/>
      <c r="B40" s="122"/>
      <c r="C40" s="122" t="s">
        <v>449</v>
      </c>
      <c r="D40" s="122" t="s">
        <v>450</v>
      </c>
      <c r="E40" s="77" t="s">
        <v>451</v>
      </c>
      <c r="F40" s="129" t="s">
        <v>452</v>
      </c>
      <c r="G40" s="80"/>
      <c r="H40" s="80"/>
    </row>
    <row r="41" spans="1:10" x14ac:dyDescent="0.2">
      <c r="A41" s="98"/>
      <c r="B41" s="127"/>
      <c r="C41" s="127" t="s">
        <v>453</v>
      </c>
      <c r="D41" s="77" t="s">
        <v>454</v>
      </c>
      <c r="E41" s="77" t="s">
        <v>455</v>
      </c>
      <c r="F41" s="129" t="s">
        <v>239</v>
      </c>
      <c r="G41" s="80"/>
      <c r="H41" s="80"/>
    </row>
    <row r="42" spans="1:10" x14ac:dyDescent="0.2">
      <c r="A42" s="92" t="s">
        <v>279</v>
      </c>
      <c r="B42" s="127"/>
      <c r="C42" s="127" t="s">
        <v>456</v>
      </c>
      <c r="D42" s="127" t="s">
        <v>457</v>
      </c>
      <c r="E42" s="127" t="s">
        <v>458</v>
      </c>
      <c r="F42" s="129" t="s">
        <v>459</v>
      </c>
      <c r="G42" s="80"/>
      <c r="H42" s="80"/>
    </row>
    <row r="43" spans="1:10" x14ac:dyDescent="0.2">
      <c r="A43" s="93" t="s">
        <v>67</v>
      </c>
      <c r="B43" s="77"/>
      <c r="C43" s="77" t="s">
        <v>438</v>
      </c>
      <c r="D43" s="77" t="s">
        <v>438</v>
      </c>
      <c r="E43" s="127" t="s">
        <v>460</v>
      </c>
      <c r="F43" s="129"/>
      <c r="G43" s="80"/>
      <c r="H43" s="80"/>
    </row>
    <row r="44" spans="1:10" x14ac:dyDescent="0.2">
      <c r="A44" s="92"/>
      <c r="B44" s="83"/>
      <c r="C44" s="83"/>
      <c r="D44" s="83"/>
      <c r="E44" s="83"/>
      <c r="F44" s="161"/>
      <c r="G44" s="86"/>
      <c r="H44" s="86"/>
    </row>
    <row r="45" spans="1:10" ht="13.5" thickBot="1" x14ac:dyDescent="0.25">
      <c r="A45" s="87" t="s">
        <v>20</v>
      </c>
      <c r="B45" s="88"/>
      <c r="C45" s="88" t="s">
        <v>224</v>
      </c>
      <c r="D45" s="208" t="s">
        <v>224</v>
      </c>
      <c r="E45" s="208" t="s">
        <v>224</v>
      </c>
      <c r="F45" s="209" t="s">
        <v>461</v>
      </c>
      <c r="G45" s="91"/>
      <c r="H45" s="91"/>
    </row>
    <row r="46" spans="1:10" ht="13.5" thickTop="1" x14ac:dyDescent="0.2">
      <c r="A46" s="76"/>
      <c r="B46" s="100"/>
      <c r="C46" s="100"/>
      <c r="D46" s="100"/>
      <c r="E46" s="100"/>
      <c r="F46" s="102"/>
      <c r="G46" s="103"/>
      <c r="H46" s="103"/>
    </row>
    <row r="47" spans="1:10" x14ac:dyDescent="0.2">
      <c r="A47" s="92" t="s">
        <v>71</v>
      </c>
      <c r="B47" s="100"/>
      <c r="C47" s="100"/>
      <c r="D47" s="100"/>
      <c r="E47" s="100"/>
      <c r="F47" s="102"/>
      <c r="G47" s="103"/>
      <c r="H47" s="103"/>
    </row>
    <row r="48" spans="1:10" x14ac:dyDescent="0.2">
      <c r="A48" s="93" t="s">
        <v>72</v>
      </c>
      <c r="B48" s="104"/>
      <c r="C48" s="104"/>
      <c r="D48" s="104"/>
      <c r="E48" s="104"/>
      <c r="F48" s="106"/>
      <c r="G48" s="107"/>
      <c r="H48" s="107"/>
    </row>
    <row r="49" spans="1:9" ht="13.5" thickBot="1" x14ac:dyDescent="0.25">
      <c r="A49" s="87" t="s">
        <v>20</v>
      </c>
      <c r="B49" s="108"/>
      <c r="C49" s="108"/>
      <c r="D49" s="108"/>
      <c r="E49" s="108"/>
      <c r="F49" s="110"/>
      <c r="G49" s="111"/>
      <c r="H49" s="111"/>
    </row>
    <row r="50" spans="1:9" ht="13.5" thickTop="1" x14ac:dyDescent="0.2">
      <c r="A50" s="112" t="s">
        <v>280</v>
      </c>
      <c r="B50" s="113"/>
      <c r="C50" s="113" t="s">
        <v>46</v>
      </c>
      <c r="D50" s="113"/>
      <c r="E50" s="113"/>
      <c r="F50" s="113"/>
      <c r="G50" s="113"/>
      <c r="H50" s="113"/>
    </row>
    <row r="51" spans="1:9" x14ac:dyDescent="0.2">
      <c r="A51" s="114" t="s">
        <v>282</v>
      </c>
      <c r="B51" s="113"/>
      <c r="C51" s="151" t="s">
        <v>52</v>
      </c>
      <c r="D51" s="113"/>
      <c r="E51" s="113"/>
      <c r="F51" s="113"/>
      <c r="G51" s="113"/>
      <c r="H51" s="113"/>
    </row>
    <row r="52" spans="1:9" x14ac:dyDescent="0.2">
      <c r="A52" s="163" t="s">
        <v>394</v>
      </c>
      <c r="B52" s="164"/>
      <c r="C52" s="164"/>
      <c r="D52" s="164"/>
      <c r="E52" s="164"/>
      <c r="F52" s="164" t="s">
        <v>462</v>
      </c>
      <c r="G52" s="113"/>
      <c r="H52" s="113"/>
    </row>
    <row r="53" spans="1:9" x14ac:dyDescent="0.2">
      <c r="A53" s="115"/>
      <c r="B53" s="113"/>
      <c r="C53" s="113"/>
      <c r="D53" s="113"/>
      <c r="E53" s="113"/>
      <c r="F53" s="113"/>
      <c r="G53" s="113"/>
      <c r="H53" s="113"/>
    </row>
    <row r="54" spans="1:9" ht="13.5" thickBot="1" x14ac:dyDescent="0.25">
      <c r="A54" s="248" t="s">
        <v>75</v>
      </c>
      <c r="B54" s="249" t="s">
        <v>76</v>
      </c>
      <c r="C54" s="113"/>
      <c r="D54" s="113"/>
      <c r="E54" s="113"/>
      <c r="F54" s="113"/>
      <c r="G54" s="113"/>
      <c r="H54" s="285" t="s">
        <v>463</v>
      </c>
      <c r="I54" s="286">
        <f>SUM(I10:I53)</f>
        <v>0</v>
      </c>
    </row>
    <row r="55" spans="1:9" ht="13.5" thickTop="1" x14ac:dyDescent="0.2">
      <c r="A55" s="115"/>
      <c r="B55" s="116"/>
      <c r="C55" s="116"/>
      <c r="D55" s="116"/>
      <c r="E55" s="116"/>
      <c r="F55" s="116"/>
      <c r="G55" s="116"/>
      <c r="H55" s="116"/>
    </row>
    <row r="56" spans="1:9" x14ac:dyDescent="0.2">
      <c r="A56" s="115"/>
      <c r="B56" s="118"/>
      <c r="C56" s="118"/>
      <c r="D56" s="118"/>
      <c r="E56" s="118"/>
      <c r="F56" s="118"/>
      <c r="G56" s="118"/>
      <c r="H56" s="118"/>
    </row>
    <row r="57" spans="1:9" x14ac:dyDescent="0.2">
      <c r="A57" s="115"/>
      <c r="B57" s="118"/>
      <c r="C57" s="118"/>
      <c r="D57" s="118"/>
      <c r="E57" s="118"/>
      <c r="F57" s="118"/>
      <c r="G57" s="118"/>
      <c r="H57" s="118"/>
    </row>
    <row r="58" spans="1:9" x14ac:dyDescent="0.2">
      <c r="A58" s="115"/>
      <c r="B58" s="118"/>
      <c r="C58" s="118"/>
      <c r="D58" s="118"/>
      <c r="E58" s="118"/>
      <c r="F58" s="118"/>
      <c r="G58" s="118"/>
      <c r="H58" s="118"/>
    </row>
    <row r="59" spans="1:9" x14ac:dyDescent="0.2">
      <c r="A59" s="115"/>
      <c r="B59" s="118"/>
      <c r="C59" s="118"/>
      <c r="D59" s="118"/>
      <c r="E59" s="118"/>
      <c r="F59" s="118"/>
      <c r="G59" s="118"/>
      <c r="H59" s="118"/>
    </row>
    <row r="60" spans="1:9" x14ac:dyDescent="0.2">
      <c r="A60" s="115"/>
      <c r="B60" s="118"/>
      <c r="C60" s="118"/>
      <c r="D60" s="118"/>
      <c r="E60" s="118"/>
      <c r="F60" s="118"/>
      <c r="G60" s="118"/>
      <c r="H60" s="118"/>
    </row>
    <row r="61" spans="1:9" x14ac:dyDescent="0.2">
      <c r="A61" s="117"/>
      <c r="B61" s="118"/>
      <c r="C61" s="118"/>
      <c r="D61" s="118"/>
      <c r="E61" s="118"/>
      <c r="F61" s="118"/>
      <c r="G61" s="118"/>
      <c r="H61" s="118"/>
    </row>
    <row r="62" spans="1:9" x14ac:dyDescent="0.2">
      <c r="A62" s="117"/>
      <c r="B62" s="118"/>
      <c r="C62" s="118"/>
      <c r="D62" s="118"/>
      <c r="E62" s="118"/>
      <c r="F62" s="118"/>
      <c r="G62" s="118"/>
      <c r="H62" s="118"/>
    </row>
    <row r="63" spans="1:9" x14ac:dyDescent="0.2">
      <c r="A63" s="115"/>
      <c r="B63" s="118"/>
      <c r="C63" s="118"/>
      <c r="D63" s="118"/>
      <c r="E63" s="118"/>
      <c r="F63" s="118"/>
      <c r="G63" s="118"/>
      <c r="H63" s="118"/>
    </row>
    <row r="64" spans="1:9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  <row r="141" spans="1:8" x14ac:dyDescent="0.2">
      <c r="A141" s="115"/>
      <c r="B141" s="118"/>
      <c r="C141" s="118"/>
      <c r="D141" s="118"/>
      <c r="E141" s="118"/>
      <c r="F141" s="118"/>
      <c r="G141" s="118"/>
      <c r="H141" s="118"/>
    </row>
  </sheetData>
  <customSheetViews>
    <customSheetView guid="{413CAF1F-62E2-41F5-A4C6-2C341582DC5D}" scale="80" showPageBreaks="1" printArea="1" hiddenRows="1">
      <pane ySplit="1" topLeftCell="A2" activePane="bottomLeft" state="frozen"/>
      <selection pane="bottomLeft" activeCell="I19" sqref="I19"/>
      <pageMargins left="0" right="0" top="0" bottom="0" header="0" footer="0"/>
      <printOptions gridLines="1"/>
      <pageSetup paperSize="9" scale="75" orientation="landscape" r:id="rId1"/>
      <headerFooter alignWithMargins="0">
        <oddHeader>&amp;C2019.05.20-26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D23" sqref="D23"/>
      <pageMargins left="0" right="0" top="0" bottom="0" header="0" footer="0"/>
      <printOptions gridLines="1"/>
      <pageSetup paperSize="8" scale="95" orientation="landscape" r:id="rId2"/>
      <headerFooter alignWithMargins="0">
        <oddHeader>&amp;C2019.05.20-26</oddHeader>
      </headerFooter>
    </customSheetView>
    <customSheetView guid="{07BAD8F1-49B6-40C7-A1B5-B8EF23A4A904}" scale="80" showPageBreaks="1" printArea="1" hiddenRows="1">
      <pane ySplit="1" topLeftCell="A2" activePane="bottomLeft" state="frozen"/>
      <selection pane="bottomLeft" activeCell="I19" sqref="I19"/>
      <pageMargins left="0" right="0" top="0" bottom="0" header="0" footer="0"/>
      <printOptions gridLines="1"/>
      <pageSetup paperSize="9" scale="75" orientation="landscape" r:id="rId3"/>
      <headerFooter alignWithMargins="0">
        <oddHeader>&amp;C2019.05.20-26</oddHeader>
      </headerFooter>
    </customSheetView>
    <customSheetView guid="{4B58F0A9-071E-4376-B7AD-463366669E19}" scale="80" hiddenRows="1">
      <pane ySplit="1" topLeftCell="A2" activePane="bottomLeft" state="frozen"/>
      <selection pane="bottomLeft" activeCell="I19" sqref="I19"/>
      <pageMargins left="0" right="0" top="0" bottom="0" header="0" footer="0"/>
      <printOptions gridLines="1"/>
      <pageSetup paperSize="9" scale="75" orientation="landscape" r:id="rId4"/>
      <headerFooter alignWithMargins="0">
        <oddHeader>&amp;C2019.05.20-26</oddHeader>
      </headerFooter>
    </customSheetView>
    <customSheetView guid="{63A8D7FC-210D-4D74-8AB0-DBA9D993D16B}" scale="80" showPageBreaks="1" printArea="1" hiddenRows="1">
      <pane ySplit="1" topLeftCell="A2" activePane="bottomLeft" state="frozen"/>
      <selection pane="bottomLeft" activeCell="K23" sqref="K23"/>
      <pageMargins left="0" right="0" top="0" bottom="0" header="0" footer="0"/>
      <printOptions gridLines="1"/>
      <pageSetup paperSize="9" scale="75" orientation="landscape" r:id="rId5"/>
      <headerFooter alignWithMargins="0">
        <oddHeader>&amp;C2019.05.20-26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I29" sqref="I29"/>
      <pageMargins left="0" right="0" top="0" bottom="0" header="0" footer="0"/>
      <printOptions gridLines="1"/>
      <pageSetup paperSize="8" scale="95" orientation="landscape" r:id="rId6"/>
      <headerFooter alignWithMargins="0">
        <oddHeader>&amp;C2019.05.20-26</oddHeader>
      </headerFooter>
    </customSheetView>
    <customSheetView guid="{D4470CD2-528C-41AD-9E69-DB221017C7C0}" scale="80" showPageBreaks="1" printArea="1" hiddenRows="1">
      <pane ySplit="1" topLeftCell="A2" activePane="bottomLeft" state="frozen"/>
      <selection pane="bottomLeft" activeCell="I19" sqref="I19"/>
      <pageMargins left="0" right="0" top="0" bottom="0" header="0" footer="0"/>
      <printOptions gridLines="1"/>
      <pageSetup paperSize="9" scale="75" orientation="landscape" r:id="rId7"/>
      <headerFooter alignWithMargins="0">
        <oddHeader>&amp;C2019.05.20-26</oddHeader>
      </headerFooter>
    </customSheetView>
    <customSheetView guid="{CD08FFCB-5C1E-4FBC-90EE-0F61C4C5D8EE}" scale="80" showPageBreaks="1" printArea="1">
      <pane ySplit="1" topLeftCell="A8" activePane="bottomLeft" state="frozen"/>
      <selection pane="bottomLeft" activeCell="F37" sqref="F37"/>
      <pageMargins left="0" right="0" top="0" bottom="0" header="0" footer="0"/>
      <printOptions gridLines="1"/>
      <pageSetup paperSize="8" scale="95" orientation="landscape" r:id="rId8"/>
      <headerFooter alignWithMargins="0">
        <oddHeader>&amp;C2019.05.20-26</oddHeader>
      </headerFooter>
    </customSheetView>
    <customSheetView guid="{A47E18E7-D250-4913-909E-65F626A4EC80}" scale="80" showPageBreaks="1" printArea="1" hiddenRows="1">
      <pane ySplit="1" topLeftCell="A2" activePane="bottomLeft" state="frozen"/>
      <selection pane="bottomLeft" activeCell="I19" sqref="I19"/>
      <pageMargins left="0" right="0" top="0" bottom="0" header="0" footer="0"/>
      <printOptions gridLines="1"/>
      <pageSetup paperSize="9" scale="75" orientation="landscape" r:id="rId9"/>
      <headerFooter alignWithMargins="0">
        <oddHeader>&amp;C2019.05.20-26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I29" sqref="I29"/>
      <pageMargins left="0" right="0" top="0" bottom="0" header="0" footer="0"/>
      <printOptions gridLines="1"/>
      <pageSetup paperSize="8" scale="95" orientation="landscape" r:id="rId10"/>
      <headerFooter alignWithMargins="0">
        <oddHeader>&amp;C2019.05.20-26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J15" sqref="J15"/>
      <pageMargins left="0" right="0" top="0" bottom="0" header="0" footer="0"/>
      <printOptions gridLines="1"/>
      <pageSetup paperSize="8" scale="95" orientation="landscape" r:id="rId11"/>
      <headerFooter alignWithMargins="0">
        <oddHeader>&amp;C2019.05.20-26</oddHeader>
      </headerFooter>
    </customSheetView>
    <customSheetView guid="{0D091791-6928-48DD-B75F-0677FDB23A54}" scale="80" showPageBreaks="1" printArea="1" hiddenRows="1">
      <pane ySplit="1" topLeftCell="A2" activePane="bottomLeft" state="frozen"/>
      <selection pane="bottomLeft" activeCell="I19" sqref="I19"/>
      <pageMargins left="0" right="0" top="0" bottom="0" header="0" footer="0"/>
      <printOptions gridLines="1"/>
      <pageSetup paperSize="9" scale="75" orientation="landscape" r:id="rId12"/>
      <headerFooter alignWithMargins="0">
        <oddHeader>&amp;C2019.05.20-26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9" scale="75" orientation="landscape" r:id="rId13"/>
  <headerFooter alignWithMargins="0">
    <oddHeader>&amp;C2019.05.20-26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Munka9"/>
  <dimension ref="A1:S131"/>
  <sheetViews>
    <sheetView zoomScale="80" zoomScaleNormal="80" zoomScaleSheetLayoutView="40" workbookViewId="0">
      <pane ySplit="1" topLeftCell="A2" activePane="bottomLeft" state="frozen"/>
      <selection pane="bottomLeft" activeCell="B2" sqref="B2"/>
    </sheetView>
  </sheetViews>
  <sheetFormatPr defaultColWidth="9.140625" defaultRowHeight="12.75" x14ac:dyDescent="0.2"/>
  <cols>
    <col min="1" max="1" width="12.28515625" style="119" customWidth="1"/>
    <col min="2" max="6" width="29.28515625" style="69" customWidth="1"/>
    <col min="7" max="7" width="15.28515625" style="69" customWidth="1"/>
    <col min="8" max="8" width="16.7109375" style="69" customWidth="1"/>
    <col min="9" max="9" width="12" style="226" customWidth="1"/>
    <col min="10" max="18" width="9.140625" style="69"/>
    <col min="19" max="19" width="8.85546875" customWidth="1"/>
    <col min="20" max="16384" width="9.140625" style="69"/>
  </cols>
  <sheetData>
    <row r="1" spans="1:9" ht="28.5" customHeight="1" thickTop="1" thickBot="1" x14ac:dyDescent="0.25">
      <c r="A1" s="221" t="s">
        <v>464</v>
      </c>
      <c r="B1" s="65" t="s">
        <v>465</v>
      </c>
      <c r="C1" s="65" t="s">
        <v>466</v>
      </c>
      <c r="D1" s="65" t="s">
        <v>467</v>
      </c>
      <c r="E1" s="65" t="s">
        <v>468</v>
      </c>
      <c r="F1" s="65" t="s">
        <v>469</v>
      </c>
      <c r="G1" s="67" t="s">
        <v>470</v>
      </c>
      <c r="H1" s="67" t="s">
        <v>471</v>
      </c>
      <c r="I1" s="225" t="s">
        <v>472</v>
      </c>
    </row>
    <row r="2" spans="1:9" ht="15" customHeight="1" x14ac:dyDescent="0.2">
      <c r="A2" s="70"/>
      <c r="B2" s="122" t="s">
        <v>473</v>
      </c>
      <c r="C2" s="122" t="s">
        <v>473</v>
      </c>
      <c r="D2" s="122" t="s">
        <v>473</v>
      </c>
      <c r="E2" s="122" t="s">
        <v>473</v>
      </c>
      <c r="F2" s="128" t="s">
        <v>474</v>
      </c>
      <c r="G2" s="74"/>
      <c r="H2" s="74"/>
      <c r="I2" s="225"/>
    </row>
    <row r="3" spans="1:9" ht="15" customHeight="1" x14ac:dyDescent="0.2">
      <c r="A3" s="76"/>
      <c r="B3" s="77"/>
      <c r="C3" s="77"/>
      <c r="D3" s="77"/>
      <c r="E3" s="77"/>
      <c r="F3" s="129"/>
      <c r="G3" s="80"/>
      <c r="H3" s="80"/>
      <c r="I3" s="225"/>
    </row>
    <row r="4" spans="1:9" ht="15" customHeight="1" x14ac:dyDescent="0.2">
      <c r="A4" s="76" t="s">
        <v>18</v>
      </c>
      <c r="B4" s="77"/>
      <c r="C4" s="77"/>
      <c r="D4" s="77"/>
      <c r="E4" s="77"/>
      <c r="F4" s="129" t="s">
        <v>475</v>
      </c>
      <c r="G4" s="80"/>
      <c r="H4" s="80"/>
    </row>
    <row r="5" spans="1:9" ht="15" customHeight="1" x14ac:dyDescent="0.2">
      <c r="A5" s="81" t="s">
        <v>19</v>
      </c>
      <c r="B5" s="77"/>
      <c r="C5" s="77"/>
      <c r="D5" s="77"/>
      <c r="E5" s="77"/>
      <c r="F5" s="129" t="s">
        <v>476</v>
      </c>
      <c r="G5" s="80"/>
      <c r="H5" s="80"/>
    </row>
    <row r="6" spans="1:9" ht="15" customHeight="1" x14ac:dyDescent="0.2">
      <c r="A6" s="82"/>
      <c r="B6" s="83"/>
      <c r="C6" s="83"/>
      <c r="D6" s="83"/>
      <c r="E6" s="83"/>
      <c r="F6" s="161" t="s">
        <v>477</v>
      </c>
      <c r="G6" s="86"/>
      <c r="H6" s="86"/>
    </row>
    <row r="7" spans="1:9" ht="15" customHeight="1" thickBot="1" x14ac:dyDescent="0.25">
      <c r="A7" s="87" t="s">
        <v>20</v>
      </c>
      <c r="B7" s="208" t="s">
        <v>363</v>
      </c>
      <c r="C7" s="208" t="s">
        <v>363</v>
      </c>
      <c r="D7" s="208" t="s">
        <v>363</v>
      </c>
      <c r="E7" s="77" t="s">
        <v>363</v>
      </c>
      <c r="F7" s="90" t="s">
        <v>363</v>
      </c>
      <c r="G7" s="91"/>
      <c r="H7" s="91"/>
    </row>
    <row r="8" spans="1:9" ht="15" customHeight="1" thickTop="1" x14ac:dyDescent="0.2">
      <c r="A8" s="82"/>
      <c r="B8" s="127" t="s">
        <v>478</v>
      </c>
      <c r="C8" s="127" t="s">
        <v>478</v>
      </c>
      <c r="D8" s="152" t="s">
        <v>478</v>
      </c>
      <c r="E8" s="71" t="s">
        <v>479</v>
      </c>
      <c r="F8" s="129" t="s">
        <v>480</v>
      </c>
      <c r="G8" s="80"/>
      <c r="H8" s="80"/>
    </row>
    <row r="9" spans="1:9" ht="15" customHeight="1" x14ac:dyDescent="0.2">
      <c r="A9" s="82"/>
      <c r="B9" s="127"/>
      <c r="C9" s="77"/>
      <c r="D9" s="154"/>
      <c r="E9" s="77" t="s">
        <v>481</v>
      </c>
      <c r="F9" s="129" t="s">
        <v>340</v>
      </c>
      <c r="G9" s="80"/>
      <c r="H9" s="80"/>
    </row>
    <row r="10" spans="1:9" ht="15" customHeight="1" x14ac:dyDescent="0.2">
      <c r="A10" s="92" t="s">
        <v>18</v>
      </c>
      <c r="B10" s="77"/>
      <c r="C10" s="77"/>
      <c r="D10" s="154"/>
      <c r="E10" s="77"/>
      <c r="F10" s="168" t="s">
        <v>482</v>
      </c>
      <c r="G10" s="80"/>
      <c r="H10" s="80"/>
    </row>
    <row r="11" spans="1:9" ht="15" customHeight="1" x14ac:dyDescent="0.2">
      <c r="A11" s="93" t="s">
        <v>30</v>
      </c>
      <c r="B11" s="77"/>
      <c r="C11" s="77"/>
      <c r="D11" s="154"/>
      <c r="E11" s="77"/>
      <c r="F11" s="167" t="s">
        <v>483</v>
      </c>
      <c r="G11" s="80"/>
      <c r="H11" s="80"/>
    </row>
    <row r="12" spans="1:9" ht="15" customHeight="1" x14ac:dyDescent="0.2">
      <c r="A12" s="82"/>
      <c r="B12" s="77"/>
      <c r="C12" s="77"/>
      <c r="D12" s="154"/>
      <c r="E12" s="77"/>
      <c r="F12" s="168"/>
      <c r="G12" s="80"/>
      <c r="H12" s="80"/>
    </row>
    <row r="13" spans="1:9" ht="15" customHeight="1" thickBot="1" x14ac:dyDescent="0.25">
      <c r="A13" s="82"/>
      <c r="B13" s="83"/>
      <c r="C13" s="83"/>
      <c r="D13" s="155"/>
      <c r="E13" s="158"/>
      <c r="F13" s="169"/>
      <c r="G13" s="86"/>
      <c r="H13" s="86"/>
    </row>
    <row r="14" spans="1:9" ht="15" customHeight="1" thickBot="1" x14ac:dyDescent="0.25">
      <c r="A14" s="87" t="s">
        <v>20</v>
      </c>
      <c r="B14" s="208" t="s">
        <v>484</v>
      </c>
      <c r="C14" s="208" t="s">
        <v>484</v>
      </c>
      <c r="D14" s="208" t="s">
        <v>484</v>
      </c>
      <c r="E14" s="88" t="s">
        <v>485</v>
      </c>
      <c r="F14" s="208" t="s">
        <v>31</v>
      </c>
      <c r="G14" s="91"/>
      <c r="H14" s="91"/>
      <c r="I14" s="236"/>
    </row>
    <row r="15" spans="1:9" ht="15" customHeight="1" thickTop="1" x14ac:dyDescent="0.2">
      <c r="A15" s="82"/>
      <c r="B15" s="127" t="s">
        <v>486</v>
      </c>
      <c r="C15" s="122" t="s">
        <v>342</v>
      </c>
      <c r="D15" s="122" t="s">
        <v>487</v>
      </c>
      <c r="E15" s="157" t="s">
        <v>438</v>
      </c>
      <c r="F15" s="167" t="s">
        <v>386</v>
      </c>
      <c r="G15" s="80"/>
      <c r="H15" s="80"/>
    </row>
    <row r="16" spans="1:9" ht="15" customHeight="1" x14ac:dyDescent="0.2">
      <c r="A16" s="82"/>
      <c r="B16" s="152" t="s">
        <v>442</v>
      </c>
      <c r="C16" s="127" t="s">
        <v>370</v>
      </c>
      <c r="D16" s="127" t="s">
        <v>488</v>
      </c>
      <c r="E16" s="157" t="s">
        <v>489</v>
      </c>
      <c r="F16" s="129" t="s">
        <v>490</v>
      </c>
      <c r="G16" s="80"/>
      <c r="H16" s="80"/>
    </row>
    <row r="17" spans="1:8" ht="15" customHeight="1" x14ac:dyDescent="0.2">
      <c r="A17" s="92" t="s">
        <v>41</v>
      </c>
      <c r="B17" s="154" t="s">
        <v>491</v>
      </c>
      <c r="C17" s="152" t="s">
        <v>368</v>
      </c>
      <c r="D17" s="127" t="s">
        <v>492</v>
      </c>
      <c r="E17" s="77" t="s">
        <v>486</v>
      </c>
      <c r="F17" s="129" t="s">
        <v>493</v>
      </c>
      <c r="G17" s="80"/>
      <c r="H17" s="80"/>
    </row>
    <row r="18" spans="1:8" ht="15" customHeight="1" x14ac:dyDescent="0.2">
      <c r="A18" s="93" t="s">
        <v>43</v>
      </c>
      <c r="B18" s="152"/>
      <c r="C18" s="127" t="s">
        <v>494</v>
      </c>
      <c r="D18" s="77"/>
      <c r="E18" s="154" t="s">
        <v>442</v>
      </c>
      <c r="F18" s="79"/>
      <c r="G18" s="80"/>
      <c r="H18" s="80"/>
    </row>
    <row r="19" spans="1:8" x14ac:dyDescent="0.2">
      <c r="A19" s="82"/>
      <c r="B19" s="155"/>
      <c r="C19" s="83"/>
      <c r="D19" s="83"/>
      <c r="E19" s="139"/>
      <c r="F19" s="85"/>
      <c r="G19" s="86"/>
      <c r="H19" s="86"/>
    </row>
    <row r="20" spans="1:8" ht="13.5" thickBot="1" x14ac:dyDescent="0.25">
      <c r="A20" s="87" t="s">
        <v>20</v>
      </c>
      <c r="B20" s="156" t="s">
        <v>331</v>
      </c>
      <c r="C20" s="156" t="s">
        <v>331</v>
      </c>
      <c r="D20" s="156" t="s">
        <v>331</v>
      </c>
      <c r="E20" s="88" t="s">
        <v>495</v>
      </c>
      <c r="F20" s="90" t="s">
        <v>45</v>
      </c>
      <c r="G20" s="91"/>
      <c r="H20" s="91"/>
    </row>
    <row r="21" spans="1:8" ht="13.5" thickTop="1" x14ac:dyDescent="0.2">
      <c r="A21" s="92" t="s">
        <v>41</v>
      </c>
      <c r="B21" s="77"/>
      <c r="C21" s="77"/>
      <c r="D21" s="77"/>
      <c r="E21" s="77"/>
      <c r="F21" s="79"/>
      <c r="G21" s="80"/>
      <c r="H21" s="80"/>
    </row>
    <row r="22" spans="1:8" x14ac:dyDescent="0.2">
      <c r="A22" s="93" t="s">
        <v>50</v>
      </c>
      <c r="B22" s="83"/>
      <c r="C22" s="83"/>
      <c r="D22" s="83"/>
      <c r="E22" s="83"/>
      <c r="F22" s="85"/>
      <c r="G22" s="86"/>
      <c r="H22" s="86"/>
    </row>
    <row r="23" spans="1:8" ht="13.5" thickBot="1" x14ac:dyDescent="0.25">
      <c r="A23" s="87" t="s">
        <v>20</v>
      </c>
      <c r="B23" s="88"/>
      <c r="C23" s="88"/>
      <c r="D23" s="88"/>
      <c r="E23" s="88"/>
      <c r="F23" s="90"/>
      <c r="G23" s="91"/>
      <c r="H23" s="91"/>
    </row>
    <row r="24" spans="1:8" ht="13.5" thickTop="1" x14ac:dyDescent="0.2">
      <c r="A24" s="76"/>
      <c r="B24" s="77"/>
      <c r="C24" s="77"/>
      <c r="D24" s="77"/>
      <c r="E24" s="137" t="s">
        <v>496</v>
      </c>
      <c r="F24" s="79"/>
      <c r="G24" s="80"/>
      <c r="H24" s="80"/>
    </row>
    <row r="25" spans="1:8" x14ac:dyDescent="0.2">
      <c r="A25" s="82"/>
      <c r="B25" s="77"/>
      <c r="C25" s="77"/>
      <c r="D25" s="77"/>
      <c r="E25" s="157" t="s">
        <v>497</v>
      </c>
      <c r="F25" s="79"/>
      <c r="G25" s="80"/>
      <c r="H25" s="80"/>
    </row>
    <row r="26" spans="1:8" x14ac:dyDescent="0.2">
      <c r="A26" s="92" t="s">
        <v>59</v>
      </c>
      <c r="B26" s="77"/>
      <c r="C26" s="77"/>
      <c r="D26" s="77"/>
      <c r="E26" s="138" t="s">
        <v>498</v>
      </c>
      <c r="F26" s="79"/>
      <c r="G26" s="80"/>
      <c r="H26" s="80"/>
    </row>
    <row r="27" spans="1:8" x14ac:dyDescent="0.2">
      <c r="A27" s="93" t="s">
        <v>60</v>
      </c>
      <c r="B27" s="77"/>
      <c r="C27" s="77"/>
      <c r="D27" s="77"/>
      <c r="E27" s="77" t="s">
        <v>140</v>
      </c>
      <c r="F27" s="79"/>
      <c r="G27" s="80"/>
      <c r="H27" s="80"/>
    </row>
    <row r="28" spans="1:8" x14ac:dyDescent="0.2">
      <c r="A28" s="92"/>
      <c r="B28" s="94"/>
      <c r="C28" s="94"/>
      <c r="D28" s="94"/>
      <c r="E28" s="94"/>
      <c r="F28" s="96"/>
      <c r="G28" s="97"/>
      <c r="H28" s="97"/>
    </row>
    <row r="29" spans="1:8" ht="13.5" thickBot="1" x14ac:dyDescent="0.25">
      <c r="A29" s="87" t="s">
        <v>20</v>
      </c>
      <c r="B29" s="88"/>
      <c r="C29" s="88"/>
      <c r="D29" s="77"/>
      <c r="E29" s="88" t="s">
        <v>224</v>
      </c>
      <c r="F29" s="90"/>
      <c r="G29" s="91"/>
      <c r="H29" s="91"/>
    </row>
    <row r="30" spans="1:8" ht="13.5" thickTop="1" x14ac:dyDescent="0.2">
      <c r="A30" s="76"/>
      <c r="B30" s="127" t="s">
        <v>438</v>
      </c>
      <c r="C30" s="174" t="s">
        <v>499</v>
      </c>
      <c r="D30" s="122" t="s">
        <v>500</v>
      </c>
      <c r="E30" s="137" t="s">
        <v>501</v>
      </c>
      <c r="F30" s="129" t="s">
        <v>501</v>
      </c>
      <c r="G30" s="80"/>
      <c r="H30" s="80"/>
    </row>
    <row r="31" spans="1:8" x14ac:dyDescent="0.2">
      <c r="A31" s="98"/>
      <c r="B31" s="154" t="s">
        <v>25</v>
      </c>
      <c r="C31" s="152" t="s">
        <v>502</v>
      </c>
      <c r="D31" s="127" t="s">
        <v>503</v>
      </c>
      <c r="E31" s="157"/>
      <c r="F31" s="129"/>
      <c r="G31" s="80"/>
      <c r="H31" s="80"/>
    </row>
    <row r="32" spans="1:8" x14ac:dyDescent="0.2">
      <c r="A32" s="92" t="s">
        <v>279</v>
      </c>
      <c r="B32" s="154"/>
      <c r="C32" s="154" t="s">
        <v>504</v>
      </c>
      <c r="D32" s="127" t="s">
        <v>505</v>
      </c>
      <c r="E32" s="138"/>
      <c r="F32" s="79"/>
      <c r="G32" s="80"/>
      <c r="H32" s="80"/>
    </row>
    <row r="33" spans="1:9" x14ac:dyDescent="0.2">
      <c r="A33" s="93" t="s">
        <v>67</v>
      </c>
      <c r="B33" s="152" t="s">
        <v>506</v>
      </c>
      <c r="C33" s="154" t="s">
        <v>503</v>
      </c>
      <c r="D33" s="127" t="s">
        <v>390</v>
      </c>
      <c r="E33" s="138"/>
      <c r="F33" s="79"/>
      <c r="G33" s="80"/>
      <c r="H33" s="80"/>
    </row>
    <row r="34" spans="1:9" x14ac:dyDescent="0.2">
      <c r="A34" s="93"/>
      <c r="B34" s="152"/>
      <c r="C34" s="154" t="s">
        <v>505</v>
      </c>
      <c r="D34" s="127" t="s">
        <v>507</v>
      </c>
      <c r="E34" s="138"/>
      <c r="F34" s="79"/>
      <c r="G34" s="80"/>
      <c r="H34" s="80"/>
    </row>
    <row r="35" spans="1:9" x14ac:dyDescent="0.2">
      <c r="A35" s="93"/>
      <c r="B35" s="152"/>
      <c r="C35" s="154"/>
      <c r="D35" s="77" t="s">
        <v>508</v>
      </c>
      <c r="E35" s="138"/>
      <c r="F35" s="79"/>
      <c r="G35" s="80"/>
      <c r="H35" s="80"/>
    </row>
    <row r="36" spans="1:9" ht="13.5" thickBot="1" x14ac:dyDescent="0.25">
      <c r="A36" s="92"/>
      <c r="B36" s="83"/>
      <c r="C36" s="155"/>
      <c r="D36" s="158"/>
      <c r="E36" s="139"/>
      <c r="F36" s="85"/>
      <c r="G36" s="86"/>
      <c r="H36" s="86"/>
    </row>
    <row r="37" spans="1:9" ht="13.5" thickBot="1" x14ac:dyDescent="0.25">
      <c r="A37" s="87" t="s">
        <v>20</v>
      </c>
      <c r="B37" s="204" t="s">
        <v>259</v>
      </c>
      <c r="C37" s="208" t="s">
        <v>259</v>
      </c>
      <c r="D37" s="208" t="s">
        <v>259</v>
      </c>
      <c r="E37" s="88" t="s">
        <v>210</v>
      </c>
      <c r="F37" s="90" t="s">
        <v>210</v>
      </c>
      <c r="G37" s="91"/>
      <c r="H37" s="91"/>
      <c r="I37" s="227">
        <v>1</v>
      </c>
    </row>
    <row r="38" spans="1:9" ht="13.5" thickTop="1" x14ac:dyDescent="0.2">
      <c r="A38" s="76"/>
      <c r="B38" s="127" t="s">
        <v>509</v>
      </c>
      <c r="C38" s="100"/>
      <c r="D38" s="100"/>
      <c r="E38" s="100"/>
      <c r="F38" s="102"/>
      <c r="G38" s="103"/>
      <c r="H38" s="103"/>
    </row>
    <row r="39" spans="1:9" x14ac:dyDescent="0.2">
      <c r="A39" s="92" t="s">
        <v>71</v>
      </c>
      <c r="B39" s="100"/>
      <c r="C39" s="100"/>
      <c r="D39" s="100"/>
      <c r="E39" s="100"/>
      <c r="F39" s="102"/>
      <c r="G39" s="103"/>
      <c r="H39" s="103"/>
    </row>
    <row r="40" spans="1:9" x14ac:dyDescent="0.2">
      <c r="A40" s="93" t="s">
        <v>72</v>
      </c>
      <c r="B40" s="104"/>
      <c r="C40" s="104"/>
      <c r="D40" s="104"/>
      <c r="E40" s="104"/>
      <c r="F40" s="106"/>
      <c r="G40" s="107"/>
      <c r="H40" s="107"/>
    </row>
    <row r="41" spans="1:9" ht="13.5" thickBot="1" x14ac:dyDescent="0.25">
      <c r="A41" s="87" t="s">
        <v>20</v>
      </c>
      <c r="B41" s="108" t="s">
        <v>210</v>
      </c>
      <c r="C41" s="108"/>
      <c r="D41" s="108"/>
      <c r="E41" s="108"/>
      <c r="F41" s="110"/>
      <c r="G41" s="111"/>
      <c r="H41" s="111"/>
    </row>
    <row r="42" spans="1:9" ht="13.5" thickTop="1" x14ac:dyDescent="0.2">
      <c r="A42" s="112" t="s">
        <v>280</v>
      </c>
      <c r="B42" s="113" t="s">
        <v>510</v>
      </c>
      <c r="C42" s="113" t="s">
        <v>510</v>
      </c>
      <c r="D42" s="113" t="s">
        <v>510</v>
      </c>
      <c r="E42" s="113" t="s">
        <v>46</v>
      </c>
      <c r="F42" s="113" t="s">
        <v>511</v>
      </c>
      <c r="G42" s="113"/>
      <c r="H42" s="113"/>
    </row>
    <row r="43" spans="1:9" x14ac:dyDescent="0.2">
      <c r="A43" s="114" t="s">
        <v>282</v>
      </c>
      <c r="B43" s="113"/>
      <c r="C43" s="113"/>
      <c r="D43" s="113"/>
      <c r="E43" s="113"/>
      <c r="F43" s="113"/>
      <c r="G43" s="113"/>
      <c r="H43" s="113"/>
    </row>
    <row r="44" spans="1:9" x14ac:dyDescent="0.2">
      <c r="A44" s="163" t="s">
        <v>394</v>
      </c>
      <c r="B44" s="164"/>
      <c r="C44" s="164"/>
      <c r="D44" s="164"/>
      <c r="E44" s="164"/>
      <c r="F44" s="164"/>
      <c r="G44" s="113"/>
      <c r="H44" s="113"/>
    </row>
    <row r="45" spans="1:9" ht="13.5" thickBot="1" x14ac:dyDescent="0.25">
      <c r="A45" s="248" t="s">
        <v>75</v>
      </c>
      <c r="B45" s="249" t="s">
        <v>76</v>
      </c>
      <c r="C45" s="113"/>
      <c r="D45" s="113"/>
      <c r="E45" s="113"/>
      <c r="F45" s="113"/>
      <c r="G45" s="113"/>
      <c r="H45" s="285" t="s">
        <v>463</v>
      </c>
      <c r="I45" s="286">
        <f>SUM(I1:I44)</f>
        <v>1</v>
      </c>
    </row>
    <row r="46" spans="1:9" ht="13.5" thickTop="1" x14ac:dyDescent="0.2">
      <c r="A46" s="115"/>
      <c r="B46" s="118"/>
      <c r="C46" s="118"/>
      <c r="D46" s="118"/>
      <c r="E46" s="118"/>
      <c r="F46" s="118"/>
      <c r="G46" s="118"/>
      <c r="H46" s="118"/>
    </row>
    <row r="47" spans="1:9" x14ac:dyDescent="0.2">
      <c r="A47" s="115"/>
      <c r="B47" s="118"/>
      <c r="C47" s="118"/>
      <c r="D47" s="118"/>
      <c r="E47" s="118"/>
      <c r="F47" s="118"/>
      <c r="G47" s="118"/>
      <c r="H47" s="118"/>
    </row>
    <row r="48" spans="1:9" x14ac:dyDescent="0.2">
      <c r="A48" s="115"/>
      <c r="B48" s="118"/>
      <c r="C48" s="118"/>
      <c r="D48" s="118"/>
      <c r="E48" s="118"/>
      <c r="F48" s="118"/>
      <c r="G48" s="118"/>
      <c r="H48" s="118"/>
    </row>
    <row r="49" spans="1:8" x14ac:dyDescent="0.2">
      <c r="A49" s="115"/>
      <c r="B49" s="118"/>
      <c r="C49" s="118"/>
      <c r="D49" s="118"/>
      <c r="E49" s="118"/>
      <c r="F49" s="118"/>
      <c r="G49" s="118"/>
      <c r="H49" s="118"/>
    </row>
    <row r="50" spans="1:8" x14ac:dyDescent="0.2">
      <c r="A50" s="115"/>
      <c r="B50" s="118"/>
      <c r="C50" s="118"/>
      <c r="D50" s="118"/>
      <c r="E50" s="118"/>
      <c r="F50" s="118"/>
      <c r="G50" s="118"/>
      <c r="H50" s="118"/>
    </row>
    <row r="51" spans="1:8" x14ac:dyDescent="0.2">
      <c r="A51" s="117"/>
      <c r="B51" s="118"/>
      <c r="C51" s="118"/>
      <c r="D51" s="118"/>
      <c r="E51" s="118"/>
      <c r="F51" s="118"/>
      <c r="G51" s="118"/>
      <c r="H51" s="118"/>
    </row>
    <row r="52" spans="1:8" x14ac:dyDescent="0.2">
      <c r="A52" s="117"/>
      <c r="B52" s="118"/>
      <c r="C52" s="118"/>
      <c r="D52" s="118"/>
      <c r="E52" s="118"/>
      <c r="F52" s="118"/>
      <c r="G52" s="118"/>
      <c r="H52" s="118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5"/>
      <c r="B59" s="118"/>
      <c r="C59" s="118"/>
      <c r="D59" s="118"/>
      <c r="E59" s="118"/>
      <c r="F59" s="118"/>
      <c r="G59" s="118"/>
      <c r="H59" s="118"/>
    </row>
    <row r="60" spans="1:8" x14ac:dyDescent="0.2">
      <c r="A60" s="115"/>
      <c r="B60" s="118"/>
      <c r="C60" s="118"/>
      <c r="D60" s="118"/>
      <c r="E60" s="118"/>
      <c r="F60" s="118"/>
      <c r="G60" s="118"/>
      <c r="H60" s="118"/>
    </row>
    <row r="61" spans="1:8" x14ac:dyDescent="0.2">
      <c r="A61" s="115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I14" sqref="I14"/>
      <pageMargins left="0" right="0" top="0" bottom="0" header="0" footer="0"/>
      <printOptions gridLines="1"/>
      <pageSetup paperSize="9" scale="80" orientation="landscape" r:id="rId1"/>
      <headerFooter alignWithMargins="0">
        <oddHeader>&amp;C2019.05.27-06.02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L18" sqref="L18"/>
      <pageMargins left="0" right="0" top="0" bottom="0" header="0" footer="0"/>
      <printOptions gridLines="1"/>
      <pageSetup paperSize="8" scale="95" orientation="landscape" r:id="rId2"/>
      <headerFooter alignWithMargins="0">
        <oddHeader>&amp;C2019.05.27-06.02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B2" sqref="B2"/>
      <pageMargins left="0" right="0" top="0" bottom="0" header="0" footer="0"/>
      <printOptions gridLines="1"/>
      <pageSetup paperSize="9" scale="80" orientation="landscape" r:id="rId3"/>
      <headerFooter alignWithMargins="0">
        <oddHeader>&amp;C2019.05.27-06.02</oddHeader>
      </headerFooter>
    </customSheetView>
    <customSheetView guid="{4B58F0A9-071E-4376-B7AD-463366669E19}" scale="80">
      <pane ySplit="1" topLeftCell="A2" activePane="bottomLeft" state="frozen"/>
      <selection pane="bottomLeft" activeCell="B2" sqref="B2"/>
      <pageMargins left="0" right="0" top="0" bottom="0" header="0" footer="0"/>
      <printOptions gridLines="1"/>
      <pageSetup paperSize="9" scale="80" orientation="landscape" r:id="rId4"/>
      <headerFooter alignWithMargins="0">
        <oddHeader>&amp;C2019.05.27-06.02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10" sqref="E10"/>
      <pageMargins left="0" right="0" top="0" bottom="0" header="0" footer="0"/>
      <printOptions gridLines="1"/>
      <pageSetup paperSize="8" scale="95" orientation="landscape" r:id="rId5"/>
      <headerFooter alignWithMargins="0">
        <oddHeader>&amp;C2019.05.27-06.02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E24" sqref="E24"/>
      <pageMargins left="0" right="0" top="0" bottom="0" header="0" footer="0"/>
      <printOptions gridLines="1"/>
      <pageSetup paperSize="8" scale="95" orientation="landscape" r:id="rId6"/>
      <headerFooter alignWithMargins="0">
        <oddHeader>&amp;C2019.05.27-06.02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B2" sqref="B2"/>
      <pageMargins left="0" right="0" top="0" bottom="0" header="0" footer="0"/>
      <printOptions gridLines="1"/>
      <pageSetup paperSize="9" scale="80" orientation="landscape" r:id="rId7"/>
      <headerFooter alignWithMargins="0">
        <oddHeader>&amp;C2019.05.27-06.02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41" sqref="E41"/>
      <pageMargins left="0" right="0" top="0" bottom="0" header="0" footer="0"/>
      <printOptions gridLines="1"/>
      <pageSetup paperSize="8" scale="95" orientation="landscape" r:id="rId8"/>
      <headerFooter alignWithMargins="0">
        <oddHeader>&amp;C2019.05.27-06.02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B2" sqref="B2"/>
      <pageMargins left="0" right="0" top="0" bottom="0" header="0" footer="0"/>
      <printOptions gridLines="1"/>
      <pageSetup paperSize="9" scale="80" orientation="landscape" r:id="rId9"/>
      <headerFooter alignWithMargins="0">
        <oddHeader>&amp;C2019.05.27-06.02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E24" sqref="E24"/>
      <pageMargins left="0" right="0" top="0" bottom="0" header="0" footer="0"/>
      <printOptions gridLines="1"/>
      <pageSetup paperSize="8" scale="95" orientation="landscape" r:id="rId10"/>
      <headerFooter alignWithMargins="0">
        <oddHeader>&amp;C2019.05.27-06.02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F14" sqref="F14"/>
      <pageMargins left="0" right="0" top="0" bottom="0" header="0" footer="0"/>
      <printOptions gridLines="1"/>
      <pageSetup paperSize="8" scale="95" orientation="landscape" r:id="rId11"/>
      <headerFooter alignWithMargins="0">
        <oddHeader>&amp;C2019.05.27-06.02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B2" sqref="B2"/>
      <pageMargins left="0" right="0" top="0" bottom="0" header="0" footer="0"/>
      <printOptions gridLines="1"/>
      <pageSetup paperSize="9" scale="80" orientation="landscape" r:id="rId12"/>
      <headerFooter alignWithMargins="0">
        <oddHeader>&amp;C2019.05.27-06.02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9" scale="80" orientation="landscape" r:id="rId13"/>
  <headerFooter alignWithMargins="0">
    <oddHeader>&amp;C2019.05.27-06.02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Munka10"/>
  <dimension ref="A1:S134"/>
  <sheetViews>
    <sheetView zoomScale="80" zoomScaleNormal="80" zoomScaleSheetLayoutView="40" workbookViewId="0">
      <pane ySplit="1" topLeftCell="A2" activePane="bottomLeft" state="frozen"/>
      <selection pane="bottomLeft" activeCell="I23" sqref="I23"/>
    </sheetView>
  </sheetViews>
  <sheetFormatPr defaultColWidth="9.140625" defaultRowHeight="12.75" x14ac:dyDescent="0.2"/>
  <cols>
    <col min="1" max="1" width="12.140625" style="119" customWidth="1"/>
    <col min="2" max="6" width="29.28515625" style="69" customWidth="1"/>
    <col min="7" max="7" width="15.140625" style="69" customWidth="1"/>
    <col min="8" max="8" width="15.28515625" style="69" customWidth="1"/>
    <col min="9" max="9" width="12" style="223" customWidth="1"/>
    <col min="10" max="18" width="9.140625" style="69"/>
    <col min="19" max="19" width="8.85546875" customWidth="1"/>
    <col min="20" max="16384" width="9.140625" style="69"/>
  </cols>
  <sheetData>
    <row r="1" spans="1:10" ht="28.5" customHeight="1" thickTop="1" thickBot="1" x14ac:dyDescent="0.25">
      <c r="A1" s="64" t="s">
        <v>512</v>
      </c>
      <c r="B1" s="65" t="s">
        <v>513</v>
      </c>
      <c r="C1" s="65" t="s">
        <v>514</v>
      </c>
      <c r="D1" s="65" t="s">
        <v>515</v>
      </c>
      <c r="E1" s="65" t="s">
        <v>516</v>
      </c>
      <c r="F1" s="65" t="s">
        <v>517</v>
      </c>
      <c r="G1" s="67" t="s">
        <v>518</v>
      </c>
      <c r="H1" s="67" t="s">
        <v>519</v>
      </c>
      <c r="I1" s="222" t="s">
        <v>520</v>
      </c>
    </row>
    <row r="2" spans="1:10" ht="15" customHeight="1" x14ac:dyDescent="0.2">
      <c r="A2" s="70"/>
      <c r="B2" s="122" t="s">
        <v>521</v>
      </c>
      <c r="C2" s="122" t="s">
        <v>522</v>
      </c>
      <c r="D2" s="127" t="s">
        <v>171</v>
      </c>
      <c r="E2" s="152" t="s">
        <v>523</v>
      </c>
      <c r="F2" s="128" t="s">
        <v>524</v>
      </c>
      <c r="G2" s="181"/>
      <c r="H2" s="74"/>
      <c r="I2" s="222"/>
    </row>
    <row r="3" spans="1:10" ht="15" customHeight="1" x14ac:dyDescent="0.2">
      <c r="A3" s="76"/>
      <c r="B3" s="154"/>
      <c r="C3" s="127" t="s">
        <v>525</v>
      </c>
      <c r="D3" s="127" t="s">
        <v>526</v>
      </c>
      <c r="E3" s="154" t="s">
        <v>527</v>
      </c>
      <c r="F3" s="129" t="s">
        <v>528</v>
      </c>
      <c r="G3" s="177"/>
      <c r="H3" s="80"/>
      <c r="I3" s="222"/>
    </row>
    <row r="4" spans="1:10" ht="15" customHeight="1" x14ac:dyDescent="0.2">
      <c r="A4" s="76" t="s">
        <v>18</v>
      </c>
      <c r="B4" s="154"/>
      <c r="C4" s="77" t="s">
        <v>529</v>
      </c>
      <c r="D4" s="138" t="s">
        <v>530</v>
      </c>
      <c r="E4" s="154"/>
      <c r="F4" s="129" t="s">
        <v>531</v>
      </c>
      <c r="G4" s="177"/>
      <c r="H4" s="80"/>
    </row>
    <row r="5" spans="1:10" ht="15" customHeight="1" x14ac:dyDescent="0.2">
      <c r="A5" s="81" t="s">
        <v>19</v>
      </c>
      <c r="B5" s="154"/>
      <c r="C5" s="79"/>
      <c r="D5" s="138" t="s">
        <v>532</v>
      </c>
      <c r="E5" s="154"/>
      <c r="F5" s="129" t="s">
        <v>533</v>
      </c>
      <c r="G5" s="177"/>
      <c r="H5" s="80"/>
    </row>
    <row r="6" spans="1:10" ht="15" customHeight="1" x14ac:dyDescent="0.2">
      <c r="A6" s="82"/>
      <c r="B6" s="155"/>
      <c r="C6" s="85"/>
      <c r="D6" s="160" t="s">
        <v>534</v>
      </c>
      <c r="E6" s="155"/>
      <c r="F6" s="85"/>
      <c r="G6" s="178"/>
      <c r="H6" s="86"/>
    </row>
    <row r="7" spans="1:10" ht="15" customHeight="1" thickBot="1" x14ac:dyDescent="0.25">
      <c r="A7" s="87" t="s">
        <v>20</v>
      </c>
      <c r="B7" s="88" t="s">
        <v>363</v>
      </c>
      <c r="C7" s="215" t="s">
        <v>363</v>
      </c>
      <c r="D7" s="88" t="s">
        <v>52</v>
      </c>
      <c r="E7" s="154" t="s">
        <v>363</v>
      </c>
      <c r="F7" s="158" t="s">
        <v>363</v>
      </c>
      <c r="G7" s="179"/>
      <c r="H7" s="91"/>
    </row>
    <row r="8" spans="1:10" ht="15" customHeight="1" thickTop="1" x14ac:dyDescent="0.2">
      <c r="A8" s="82"/>
      <c r="B8" s="127" t="s">
        <v>535</v>
      </c>
      <c r="C8" s="127" t="s">
        <v>536</v>
      </c>
      <c r="D8" s="137" t="s">
        <v>537</v>
      </c>
      <c r="E8" s="71" t="s">
        <v>538</v>
      </c>
      <c r="F8" s="128"/>
      <c r="G8" s="80"/>
      <c r="H8" s="80"/>
    </row>
    <row r="9" spans="1:10" ht="15" customHeight="1" x14ac:dyDescent="0.2">
      <c r="A9" s="82"/>
      <c r="B9" s="127" t="s">
        <v>539</v>
      </c>
      <c r="C9" s="77" t="s">
        <v>540</v>
      </c>
      <c r="D9" s="127" t="s">
        <v>541</v>
      </c>
      <c r="E9" s="127" t="s">
        <v>542</v>
      </c>
      <c r="F9" s="129"/>
      <c r="G9" s="80"/>
      <c r="H9" s="80"/>
      <c r="J9" s="118"/>
    </row>
    <row r="10" spans="1:10" ht="15" customHeight="1" x14ac:dyDescent="0.2">
      <c r="A10" s="92" t="s">
        <v>18</v>
      </c>
      <c r="B10" s="127" t="s">
        <v>543</v>
      </c>
      <c r="C10" s="127"/>
      <c r="D10" s="127" t="s">
        <v>544</v>
      </c>
      <c r="E10" s="157" t="s">
        <v>201</v>
      </c>
      <c r="F10" s="79"/>
      <c r="G10" s="80"/>
      <c r="H10" s="80"/>
    </row>
    <row r="11" spans="1:10" ht="15" customHeight="1" x14ac:dyDescent="0.2">
      <c r="A11" s="93" t="s">
        <v>30</v>
      </c>
      <c r="B11" s="127" t="s">
        <v>545</v>
      </c>
      <c r="C11" s="77" t="s">
        <v>546</v>
      </c>
      <c r="D11" s="127" t="s">
        <v>547</v>
      </c>
      <c r="E11" s="77"/>
      <c r="F11" s="79"/>
      <c r="G11" s="80"/>
      <c r="H11" s="80"/>
    </row>
    <row r="12" spans="1:10" ht="15" customHeight="1" x14ac:dyDescent="0.2">
      <c r="A12" s="82"/>
      <c r="B12" s="77"/>
      <c r="C12" s="77"/>
      <c r="D12" s="77"/>
      <c r="E12" s="77"/>
      <c r="F12" s="79"/>
      <c r="G12" s="80"/>
      <c r="H12" s="80"/>
    </row>
    <row r="13" spans="1:10" ht="15" customHeight="1" x14ac:dyDescent="0.2">
      <c r="A13" s="82"/>
      <c r="B13" s="83"/>
      <c r="C13" s="83"/>
      <c r="D13" s="83"/>
      <c r="E13" s="83"/>
      <c r="F13" s="85"/>
      <c r="G13" s="86"/>
      <c r="H13" s="86"/>
    </row>
    <row r="14" spans="1:10" ht="15" customHeight="1" thickBot="1" x14ac:dyDescent="0.25">
      <c r="A14" s="87" t="s">
        <v>20</v>
      </c>
      <c r="B14" s="237" t="s">
        <v>373</v>
      </c>
      <c r="C14" s="237" t="s">
        <v>373</v>
      </c>
      <c r="D14" s="208" t="s">
        <v>373</v>
      </c>
      <c r="E14" s="209" t="s">
        <v>373</v>
      </c>
      <c r="F14" s="158"/>
      <c r="G14" s="91"/>
      <c r="H14" s="91"/>
      <c r="I14" s="238"/>
    </row>
    <row r="15" spans="1:10" ht="15" customHeight="1" thickTop="1" x14ac:dyDescent="0.2">
      <c r="A15" s="82"/>
      <c r="B15" s="71" t="s">
        <v>548</v>
      </c>
      <c r="C15" s="122" t="s">
        <v>549</v>
      </c>
      <c r="D15" s="157" t="s">
        <v>550</v>
      </c>
      <c r="E15" s="127" t="s">
        <v>551</v>
      </c>
      <c r="F15" s="128" t="s">
        <v>552</v>
      </c>
      <c r="G15" s="80"/>
      <c r="H15" s="80"/>
    </row>
    <row r="16" spans="1:10" ht="15" customHeight="1" x14ac:dyDescent="0.2">
      <c r="A16" s="82"/>
      <c r="B16" s="127" t="s">
        <v>553</v>
      </c>
      <c r="C16" s="127" t="s">
        <v>554</v>
      </c>
      <c r="D16" s="157" t="s">
        <v>555</v>
      </c>
      <c r="E16" s="127" t="s">
        <v>556</v>
      </c>
      <c r="F16" s="129"/>
      <c r="G16" s="80"/>
      <c r="H16" s="80"/>
    </row>
    <row r="17" spans="1:11" ht="15" customHeight="1" x14ac:dyDescent="0.2">
      <c r="A17" s="82"/>
      <c r="B17" s="127" t="s">
        <v>557</v>
      </c>
      <c r="C17" s="127" t="s">
        <v>558</v>
      </c>
      <c r="D17" s="138" t="s">
        <v>25</v>
      </c>
      <c r="E17" s="138" t="s">
        <v>25</v>
      </c>
      <c r="F17" s="79"/>
      <c r="G17" s="80"/>
      <c r="H17" s="80"/>
    </row>
    <row r="18" spans="1:11" ht="15" customHeight="1" x14ac:dyDescent="0.2">
      <c r="A18" s="92" t="s">
        <v>41</v>
      </c>
      <c r="B18" s="77" t="s">
        <v>559</v>
      </c>
      <c r="C18" s="77" t="s">
        <v>438</v>
      </c>
      <c r="D18" s="138" t="s">
        <v>560</v>
      </c>
      <c r="E18" s="127" t="s">
        <v>561</v>
      </c>
      <c r="F18" s="79"/>
      <c r="G18" s="80"/>
      <c r="H18" s="80"/>
    </row>
    <row r="19" spans="1:11" ht="15" customHeight="1" x14ac:dyDescent="0.2">
      <c r="A19" s="93" t="s">
        <v>43</v>
      </c>
      <c r="B19" s="127" t="s">
        <v>441</v>
      </c>
      <c r="C19" s="77"/>
      <c r="D19" s="157" t="s">
        <v>562</v>
      </c>
      <c r="E19" s="77"/>
      <c r="F19" s="79"/>
      <c r="G19" s="80"/>
      <c r="H19" s="80"/>
    </row>
    <row r="20" spans="1:11" x14ac:dyDescent="0.2">
      <c r="A20" s="82"/>
      <c r="B20" s="83"/>
      <c r="C20" s="83"/>
      <c r="D20" s="160" t="s">
        <v>534</v>
      </c>
      <c r="E20" s="83"/>
      <c r="F20" s="85"/>
      <c r="G20" s="86"/>
      <c r="H20" s="86"/>
    </row>
    <row r="21" spans="1:11" ht="13.5" thickBot="1" x14ac:dyDescent="0.25">
      <c r="A21" s="159" t="s">
        <v>20</v>
      </c>
      <c r="B21" s="158" t="s">
        <v>138</v>
      </c>
      <c r="C21" s="158" t="s">
        <v>138</v>
      </c>
      <c r="D21" s="158" t="s">
        <v>138</v>
      </c>
      <c r="E21" s="158" t="s">
        <v>138</v>
      </c>
      <c r="F21" s="207" t="s">
        <v>373</v>
      </c>
      <c r="G21" s="91"/>
      <c r="H21" s="91"/>
      <c r="I21" s="223">
        <v>1</v>
      </c>
      <c r="K21" s="118"/>
    </row>
    <row r="22" spans="1:11" ht="13.5" thickTop="1" x14ac:dyDescent="0.2">
      <c r="A22" s="92" t="s">
        <v>41</v>
      </c>
      <c r="B22" s="77"/>
      <c r="C22" s="77"/>
      <c r="D22" s="127"/>
      <c r="E22" s="77"/>
      <c r="F22" s="79"/>
      <c r="G22" s="80"/>
      <c r="H22" s="80"/>
    </row>
    <row r="23" spans="1:11" x14ac:dyDescent="0.2">
      <c r="A23" s="93" t="s">
        <v>50</v>
      </c>
      <c r="B23" s="77"/>
      <c r="C23" s="77"/>
      <c r="D23" s="77"/>
      <c r="E23" s="77"/>
      <c r="F23" s="79"/>
      <c r="G23" s="80"/>
      <c r="H23" s="80"/>
    </row>
    <row r="24" spans="1:11" x14ac:dyDescent="0.2">
      <c r="A24" s="82"/>
      <c r="B24" s="83"/>
      <c r="C24" s="83"/>
      <c r="D24" s="83"/>
      <c r="E24" s="83"/>
      <c r="F24" s="85"/>
      <c r="G24" s="86"/>
      <c r="H24" s="86"/>
    </row>
    <row r="25" spans="1:11" ht="13.5" thickBot="1" x14ac:dyDescent="0.25">
      <c r="A25" s="87" t="s">
        <v>20</v>
      </c>
      <c r="B25" s="88"/>
      <c r="C25" s="88"/>
      <c r="D25" s="88"/>
      <c r="E25" s="88"/>
      <c r="F25" s="90"/>
      <c r="G25" s="91"/>
      <c r="H25" s="91"/>
    </row>
    <row r="26" spans="1:11" ht="13.5" thickTop="1" x14ac:dyDescent="0.2">
      <c r="A26" s="76"/>
      <c r="B26" s="77"/>
      <c r="C26" s="77"/>
      <c r="D26" s="77" t="s">
        <v>563</v>
      </c>
      <c r="E26" s="77" t="s">
        <v>563</v>
      </c>
      <c r="F26" s="71" t="s">
        <v>563</v>
      </c>
      <c r="G26" s="80"/>
      <c r="H26" s="80"/>
    </row>
    <row r="27" spans="1:11" x14ac:dyDescent="0.2">
      <c r="A27" s="82"/>
      <c r="B27" s="77"/>
      <c r="C27" s="77"/>
      <c r="D27" s="77"/>
      <c r="E27" s="77"/>
      <c r="F27" s="79"/>
      <c r="G27" s="80"/>
      <c r="H27" s="80"/>
    </row>
    <row r="28" spans="1:11" x14ac:dyDescent="0.2">
      <c r="A28" s="92" t="s">
        <v>59</v>
      </c>
      <c r="B28" s="77"/>
      <c r="C28" s="77"/>
      <c r="D28" s="77"/>
      <c r="E28" s="77"/>
      <c r="F28" s="79"/>
      <c r="G28" s="80"/>
      <c r="H28" s="80"/>
    </row>
    <row r="29" spans="1:11" x14ac:dyDescent="0.2">
      <c r="A29" s="93" t="s">
        <v>60</v>
      </c>
      <c r="B29" s="77"/>
      <c r="C29" s="77"/>
      <c r="D29" s="77"/>
      <c r="E29" s="77"/>
      <c r="F29" s="79"/>
      <c r="G29" s="80"/>
      <c r="H29" s="80"/>
    </row>
    <row r="30" spans="1:11" x14ac:dyDescent="0.2">
      <c r="A30" s="92"/>
      <c r="B30" s="94"/>
      <c r="C30" s="94"/>
      <c r="D30" s="94"/>
      <c r="E30" s="94"/>
      <c r="F30" s="96"/>
      <c r="G30" s="97"/>
      <c r="H30" s="97"/>
    </row>
    <row r="31" spans="1:11" ht="13.5" thickBot="1" x14ac:dyDescent="0.25">
      <c r="A31" s="87" t="s">
        <v>20</v>
      </c>
      <c r="B31" s="88"/>
      <c r="C31" s="88"/>
      <c r="D31" s="208" t="s">
        <v>224</v>
      </c>
      <c r="E31" s="208" t="s">
        <v>224</v>
      </c>
      <c r="F31" s="88" t="s">
        <v>224</v>
      </c>
      <c r="G31" s="91"/>
      <c r="H31" s="91"/>
    </row>
    <row r="32" spans="1:11" ht="13.5" thickTop="1" x14ac:dyDescent="0.2">
      <c r="A32" s="76"/>
      <c r="B32" s="77" t="s">
        <v>563</v>
      </c>
      <c r="C32" s="77" t="s">
        <v>563</v>
      </c>
      <c r="D32" s="77"/>
      <c r="E32" s="71"/>
      <c r="F32" s="129" t="s">
        <v>564</v>
      </c>
      <c r="G32" s="80"/>
      <c r="H32" s="80"/>
    </row>
    <row r="33" spans="1:10" x14ac:dyDescent="0.2">
      <c r="A33" s="76"/>
      <c r="B33" s="127"/>
      <c r="C33" s="77"/>
      <c r="D33" s="77"/>
      <c r="E33" s="77"/>
      <c r="F33" s="129" t="s">
        <v>565</v>
      </c>
      <c r="G33" s="80"/>
      <c r="H33" s="80"/>
    </row>
    <row r="34" spans="1:10" x14ac:dyDescent="0.2">
      <c r="A34" s="98"/>
      <c r="B34" s="99"/>
      <c r="C34" s="77"/>
      <c r="D34" s="77"/>
      <c r="E34" s="77"/>
      <c r="F34" s="79" t="s">
        <v>566</v>
      </c>
      <c r="G34" s="80"/>
      <c r="H34" s="80"/>
    </row>
    <row r="35" spans="1:10" x14ac:dyDescent="0.2">
      <c r="A35" s="92" t="s">
        <v>279</v>
      </c>
      <c r="B35" s="77"/>
      <c r="C35" s="77"/>
      <c r="D35" s="77"/>
      <c r="E35" s="77"/>
      <c r="F35" s="79"/>
      <c r="G35" s="80"/>
      <c r="H35" s="80"/>
      <c r="J35" s="118"/>
    </row>
    <row r="36" spans="1:10" x14ac:dyDescent="0.2">
      <c r="A36" s="93" t="s">
        <v>67</v>
      </c>
      <c r="B36" s="77"/>
      <c r="C36" s="77"/>
      <c r="D36" s="77"/>
      <c r="E36" s="77"/>
      <c r="F36" s="79"/>
      <c r="G36" s="80"/>
      <c r="H36" s="80"/>
    </row>
    <row r="37" spans="1:10" x14ac:dyDescent="0.2">
      <c r="A37" s="92"/>
      <c r="B37" s="83"/>
      <c r="C37" s="83"/>
      <c r="D37" s="83"/>
      <c r="E37" s="83"/>
      <c r="F37" s="85"/>
      <c r="G37" s="86"/>
      <c r="H37" s="86"/>
    </row>
    <row r="38" spans="1:10" ht="13.5" thickBot="1" x14ac:dyDescent="0.25">
      <c r="A38" s="87" t="s">
        <v>20</v>
      </c>
      <c r="B38" s="208" t="s">
        <v>224</v>
      </c>
      <c r="C38" s="208" t="s">
        <v>224</v>
      </c>
      <c r="D38" s="88"/>
      <c r="E38" s="88"/>
      <c r="F38" s="158" t="s">
        <v>138</v>
      </c>
      <c r="G38" s="91"/>
      <c r="H38" s="91"/>
    </row>
    <row r="39" spans="1:10" ht="13.5" thickTop="1" x14ac:dyDescent="0.2">
      <c r="A39" s="76"/>
      <c r="B39" s="100"/>
      <c r="C39" s="100"/>
      <c r="D39" s="100"/>
      <c r="E39" s="100"/>
      <c r="F39" s="102"/>
      <c r="G39" s="103"/>
      <c r="H39" s="103"/>
    </row>
    <row r="40" spans="1:10" x14ac:dyDescent="0.2">
      <c r="A40" s="92" t="s">
        <v>71</v>
      </c>
      <c r="B40" s="100"/>
      <c r="C40" s="100"/>
      <c r="D40" s="100"/>
      <c r="E40" s="100"/>
      <c r="F40" s="102"/>
      <c r="G40" s="103"/>
      <c r="H40" s="103"/>
    </row>
    <row r="41" spans="1:10" x14ac:dyDescent="0.2">
      <c r="A41" s="93" t="s">
        <v>72</v>
      </c>
      <c r="B41" s="104"/>
      <c r="C41" s="104"/>
      <c r="D41" s="104"/>
      <c r="E41" s="104"/>
      <c r="F41" s="106"/>
      <c r="G41" s="107"/>
      <c r="H41" s="107"/>
    </row>
    <row r="42" spans="1:10" ht="13.5" thickBot="1" x14ac:dyDescent="0.25">
      <c r="A42" s="87" t="s">
        <v>20</v>
      </c>
      <c r="B42" s="108"/>
      <c r="C42" s="108"/>
      <c r="D42" s="108"/>
      <c r="E42" s="108"/>
      <c r="F42" s="110"/>
      <c r="G42" s="111"/>
      <c r="H42" s="111"/>
    </row>
    <row r="43" spans="1:10" ht="18" customHeight="1" thickTop="1" x14ac:dyDescent="0.2">
      <c r="A43" s="112" t="s">
        <v>280</v>
      </c>
      <c r="B43" s="113"/>
      <c r="C43" s="113"/>
      <c r="D43" s="113" t="s">
        <v>240</v>
      </c>
      <c r="E43" s="113"/>
      <c r="F43" s="113"/>
      <c r="G43" s="113"/>
      <c r="H43" s="113"/>
    </row>
    <row r="44" spans="1:10" x14ac:dyDescent="0.2">
      <c r="A44" s="114" t="s">
        <v>282</v>
      </c>
      <c r="B44" s="113"/>
      <c r="C44" s="113"/>
      <c r="D44" s="113"/>
      <c r="E44" s="113"/>
      <c r="F44" s="113"/>
      <c r="G44" s="113"/>
      <c r="H44" s="113"/>
    </row>
    <row r="45" spans="1:10" x14ac:dyDescent="0.2">
      <c r="A45" s="163" t="s">
        <v>394</v>
      </c>
      <c r="B45" s="164"/>
      <c r="C45" s="164"/>
      <c r="D45" s="164"/>
      <c r="E45" s="164"/>
      <c r="F45" s="164"/>
      <c r="G45" s="113"/>
      <c r="H45" s="113"/>
    </row>
    <row r="46" spans="1:10" x14ac:dyDescent="0.2">
      <c r="A46" s="115"/>
      <c r="B46" s="113"/>
      <c r="C46" s="113"/>
      <c r="D46" s="171"/>
      <c r="E46" s="113"/>
      <c r="F46" s="113"/>
      <c r="G46" s="113"/>
      <c r="H46" s="285" t="s">
        <v>463</v>
      </c>
      <c r="I46" s="286">
        <f>SUM(I2:I45)</f>
        <v>1</v>
      </c>
    </row>
    <row r="47" spans="1:10" ht="13.5" thickBot="1" x14ac:dyDescent="0.25">
      <c r="A47" s="248" t="s">
        <v>75</v>
      </c>
      <c r="B47" s="249" t="s">
        <v>76</v>
      </c>
      <c r="C47" s="113"/>
      <c r="D47" s="171"/>
      <c r="E47" s="113"/>
      <c r="F47" s="113"/>
      <c r="G47" s="113"/>
      <c r="H47" s="113"/>
    </row>
    <row r="48" spans="1:10" ht="13.5" thickTop="1" x14ac:dyDescent="0.2">
      <c r="A48" s="115"/>
      <c r="B48" s="116"/>
      <c r="C48" s="116"/>
      <c r="D48" s="116"/>
      <c r="E48" s="116"/>
      <c r="F48" s="116"/>
      <c r="G48" s="116"/>
      <c r="H48" s="116"/>
    </row>
    <row r="49" spans="1:8" x14ac:dyDescent="0.2">
      <c r="A49" s="115"/>
      <c r="B49" s="118"/>
      <c r="C49" s="118"/>
      <c r="D49" s="118"/>
      <c r="E49" s="118"/>
      <c r="F49" s="118"/>
      <c r="G49" s="118"/>
      <c r="H49" s="118"/>
    </row>
    <row r="50" spans="1:8" x14ac:dyDescent="0.2">
      <c r="A50" s="115"/>
      <c r="B50" s="118"/>
      <c r="C50" s="118"/>
      <c r="D50" s="118"/>
      <c r="E50" s="118"/>
      <c r="F50" s="118"/>
      <c r="G50" s="118"/>
      <c r="H50" s="118"/>
    </row>
    <row r="51" spans="1:8" x14ac:dyDescent="0.2">
      <c r="A51" s="115"/>
      <c r="B51" s="118"/>
      <c r="C51" s="118"/>
      <c r="D51" s="118"/>
      <c r="E51" s="118"/>
      <c r="F51" s="118"/>
      <c r="G51" s="118"/>
      <c r="H51" s="118"/>
    </row>
    <row r="52" spans="1:8" x14ac:dyDescent="0.2">
      <c r="A52" s="115"/>
      <c r="B52" s="118"/>
      <c r="C52" s="118"/>
      <c r="D52" s="118"/>
      <c r="E52" s="118"/>
      <c r="F52" s="118"/>
      <c r="G52" s="118"/>
      <c r="H52" s="118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7"/>
      <c r="B54" s="118"/>
      <c r="C54" s="118"/>
      <c r="D54" s="118"/>
      <c r="E54" s="118"/>
      <c r="F54" s="118"/>
      <c r="G54" s="118"/>
      <c r="H54" s="118"/>
    </row>
    <row r="55" spans="1:8" x14ac:dyDescent="0.2">
      <c r="A55" s="117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5"/>
      <c r="B59" s="118"/>
      <c r="C59" s="118"/>
      <c r="D59" s="118"/>
      <c r="E59" s="118"/>
      <c r="F59" s="118"/>
      <c r="G59" s="118"/>
      <c r="H59" s="118"/>
    </row>
    <row r="60" spans="1:8" x14ac:dyDescent="0.2">
      <c r="A60" s="115"/>
      <c r="B60" s="118"/>
      <c r="C60" s="118"/>
      <c r="D60" s="118"/>
      <c r="E60" s="118"/>
      <c r="F60" s="118"/>
      <c r="G60" s="118"/>
      <c r="H60" s="118"/>
    </row>
    <row r="61" spans="1:8" x14ac:dyDescent="0.2">
      <c r="A61" s="115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I23" sqref="I23"/>
      <pageMargins left="0" right="0" top="0" bottom="0" header="0" footer="0"/>
      <printOptions gridLines="1"/>
      <pageSetup paperSize="9" scale="75" orientation="landscape" r:id="rId1"/>
      <headerFooter alignWithMargins="0">
        <oddHeader>&amp;C2019.06.03-09</oddHeader>
      </headerFooter>
    </customSheetView>
    <customSheetView guid="{46540580-8292-4E21-84A5-B58390F70AE7}" scale="80" showPageBreaks="1">
      <pane ySplit="1" topLeftCell="A2" activePane="bottomLeft" state="frozen"/>
      <selection pane="bottomLeft" activeCell="F73" sqref="F73"/>
      <pageMargins left="0" right="0" top="0" bottom="0" header="0" footer="0"/>
      <printOptions gridLines="1"/>
      <pageSetup paperSize="8" orientation="landscape" r:id="rId2"/>
      <headerFooter alignWithMargins="0">
        <oddHeader>&amp;C2019.06.03-09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I23" sqref="I23"/>
      <pageMargins left="0" right="0" top="0" bottom="0" header="0" footer="0"/>
      <printOptions gridLines="1"/>
      <pageSetup paperSize="9" scale="75" orientation="landscape" r:id="rId3"/>
      <headerFooter alignWithMargins="0">
        <oddHeader>&amp;C2019.06.03-09</oddHeader>
      </headerFooter>
    </customSheetView>
    <customSheetView guid="{4B58F0A9-071E-4376-B7AD-463366669E19}" scale="80">
      <pane ySplit="1" topLeftCell="A2" activePane="bottomLeft" state="frozen"/>
      <selection pane="bottomLeft" activeCell="I23" sqref="I23"/>
      <pageMargins left="0" right="0" top="0" bottom="0" header="0" footer="0"/>
      <printOptions gridLines="1"/>
      <pageSetup paperSize="9" scale="75" orientation="landscape" r:id="rId4"/>
      <headerFooter alignWithMargins="0">
        <oddHeader>&amp;C2019.06.03-09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&amp;C2019.06.03-09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H16" sqref="H16"/>
      <pageMargins left="0" right="0" top="0" bottom="0" header="0" footer="0"/>
      <printOptions gridLines="1"/>
      <pageSetup paperSize="8" scale="95" orientation="landscape" r:id="rId6"/>
      <headerFooter alignWithMargins="0">
        <oddHeader>&amp;C2019.06.03-09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I23" sqref="I23"/>
      <pageMargins left="0" right="0" top="0" bottom="0" header="0" footer="0"/>
      <printOptions gridLines="1"/>
      <pageSetup paperSize="9" scale="75" orientation="landscape" r:id="rId7"/>
      <headerFooter alignWithMargins="0">
        <oddHeader>&amp;C2019.06.03-09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8"/>
      <headerFooter alignWithMargins="0">
        <oddHeader>&amp;C2019.06.03-09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I23" sqref="I23"/>
      <pageMargins left="0" right="0" top="0" bottom="0" header="0" footer="0"/>
      <printOptions gridLines="1"/>
      <pageSetup paperSize="9" scale="75" orientation="landscape" r:id="rId9"/>
      <headerFooter alignWithMargins="0">
        <oddHeader>&amp;C2019.06.03-09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H16" sqref="H16"/>
      <pageMargins left="0" right="0" top="0" bottom="0" header="0" footer="0"/>
      <printOptions gridLines="1"/>
      <pageSetup paperSize="8" scale="95" orientation="landscape" r:id="rId10"/>
      <headerFooter alignWithMargins="0">
        <oddHeader>&amp;C2019.06.03-09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D7" sqref="D7"/>
      <pageMargins left="0" right="0" top="0" bottom="0" header="0" footer="0"/>
      <printOptions gridLines="1"/>
      <pageSetup paperSize="8" scale="95" orientation="landscape" r:id="rId11"/>
      <headerFooter alignWithMargins="0">
        <oddHeader>&amp;C2019.06.03-09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I23" sqref="I23"/>
      <pageMargins left="0" right="0" top="0" bottom="0" header="0" footer="0"/>
      <printOptions gridLines="1"/>
      <pageSetup paperSize="9" scale="75" orientation="landscape" r:id="rId12"/>
      <headerFooter alignWithMargins="0">
        <oddHeader>&amp;C2019.06.03-09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9" scale="75" orientation="landscape" r:id="rId13"/>
  <headerFooter alignWithMargins="0">
    <oddHeader>&amp;C2019.06.03-09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Munka11"/>
  <dimension ref="A1:S134"/>
  <sheetViews>
    <sheetView zoomScale="80" zoomScaleNormal="80" zoomScaleSheetLayoutView="40" workbookViewId="0">
      <pane ySplit="1" topLeftCell="A2" activePane="bottomLeft" state="frozen"/>
      <selection pane="bottomLeft" activeCell="G47" sqref="G47"/>
    </sheetView>
  </sheetViews>
  <sheetFormatPr defaultColWidth="9.140625" defaultRowHeight="12.75" x14ac:dyDescent="0.2"/>
  <cols>
    <col min="1" max="1" width="12.28515625" style="119" customWidth="1"/>
    <col min="2" max="5" width="29.28515625" style="69" customWidth="1"/>
    <col min="6" max="6" width="19.5703125" style="69" customWidth="1"/>
    <col min="7" max="7" width="15" style="69" customWidth="1"/>
    <col min="8" max="8" width="16.140625" style="69" customWidth="1"/>
    <col min="9" max="9" width="12" style="223" customWidth="1"/>
    <col min="10" max="18" width="9.140625" style="69"/>
    <col min="19" max="19" width="8.85546875" customWidth="1"/>
    <col min="20" max="16384" width="9.140625" style="69"/>
  </cols>
  <sheetData>
    <row r="1" spans="1:9" ht="28.5" customHeight="1" thickTop="1" thickBot="1" x14ac:dyDescent="0.25">
      <c r="A1" s="64" t="s">
        <v>567</v>
      </c>
      <c r="B1" s="66" t="s">
        <v>568</v>
      </c>
      <c r="C1" s="65" t="s">
        <v>569</v>
      </c>
      <c r="D1" s="65" t="s">
        <v>570</v>
      </c>
      <c r="E1" s="65" t="s">
        <v>571</v>
      </c>
      <c r="F1" s="65" t="s">
        <v>572</v>
      </c>
      <c r="G1" s="67" t="s">
        <v>573</v>
      </c>
      <c r="H1" s="67" t="s">
        <v>574</v>
      </c>
      <c r="I1" s="222" t="s">
        <v>520</v>
      </c>
    </row>
    <row r="2" spans="1:9" ht="15" customHeight="1" x14ac:dyDescent="0.2">
      <c r="A2" s="70"/>
      <c r="B2" s="72"/>
      <c r="C2" s="127" t="s">
        <v>575</v>
      </c>
      <c r="D2" s="122" t="s">
        <v>404</v>
      </c>
      <c r="E2" s="122" t="s">
        <v>576</v>
      </c>
      <c r="F2" s="182" t="s">
        <v>577</v>
      </c>
      <c r="G2" s="74"/>
      <c r="H2" s="74"/>
      <c r="I2" s="222"/>
    </row>
    <row r="3" spans="1:9" ht="15" customHeight="1" x14ac:dyDescent="0.2">
      <c r="A3" s="76"/>
      <c r="B3" s="78"/>
      <c r="C3" s="77"/>
      <c r="D3" s="77"/>
      <c r="E3" s="127" t="s">
        <v>578</v>
      </c>
      <c r="F3" s="183"/>
      <c r="G3" s="80"/>
      <c r="H3" s="80"/>
      <c r="I3" s="222"/>
    </row>
    <row r="4" spans="1:9" ht="15" customHeight="1" x14ac:dyDescent="0.2">
      <c r="A4" s="76" t="s">
        <v>18</v>
      </c>
      <c r="B4" s="78"/>
      <c r="C4" s="77"/>
      <c r="D4" s="77"/>
      <c r="E4" s="127" t="s">
        <v>579</v>
      </c>
      <c r="F4" s="183"/>
      <c r="G4" s="80"/>
      <c r="H4" s="80"/>
    </row>
    <row r="5" spans="1:9" ht="15" customHeight="1" x14ac:dyDescent="0.2">
      <c r="A5" s="81" t="s">
        <v>19</v>
      </c>
      <c r="B5" s="78"/>
      <c r="C5" s="77"/>
      <c r="D5" s="77"/>
      <c r="E5" s="77"/>
      <c r="F5" s="183"/>
      <c r="G5" s="80"/>
      <c r="H5" s="80"/>
    </row>
    <row r="6" spans="1:9" ht="15" customHeight="1" x14ac:dyDescent="0.2">
      <c r="A6" s="81"/>
      <c r="B6" s="78"/>
      <c r="C6" s="77"/>
      <c r="D6" s="77"/>
      <c r="E6" s="77"/>
      <c r="F6" s="183"/>
      <c r="G6" s="80"/>
      <c r="H6" s="80"/>
    </row>
    <row r="7" spans="1:9" ht="15" customHeight="1" x14ac:dyDescent="0.2">
      <c r="A7" s="217"/>
      <c r="B7" s="84"/>
      <c r="C7" s="83"/>
      <c r="D7" s="83"/>
      <c r="E7" s="83"/>
      <c r="F7" s="184"/>
      <c r="G7" s="86"/>
      <c r="H7" s="86"/>
    </row>
    <row r="8" spans="1:9" ht="15" customHeight="1" thickBot="1" x14ac:dyDescent="0.25">
      <c r="A8" s="87" t="s">
        <v>20</v>
      </c>
      <c r="B8" s="89"/>
      <c r="C8" s="208" t="s">
        <v>21</v>
      </c>
      <c r="D8" s="88" t="s">
        <v>363</v>
      </c>
      <c r="E8" s="204" t="s">
        <v>580</v>
      </c>
      <c r="F8" s="185"/>
      <c r="G8" s="91"/>
      <c r="H8" s="91"/>
      <c r="I8" s="224">
        <f>+'06.03-06.09'!I7+1</f>
        <v>1</v>
      </c>
    </row>
    <row r="9" spans="1:9" ht="15" customHeight="1" thickTop="1" x14ac:dyDescent="0.2">
      <c r="A9" s="82"/>
      <c r="B9" s="78"/>
      <c r="C9" s="127"/>
      <c r="D9" s="122" t="s">
        <v>581</v>
      </c>
      <c r="E9" s="77" t="s">
        <v>582</v>
      </c>
      <c r="F9" s="182" t="s">
        <v>577</v>
      </c>
      <c r="G9" s="80"/>
      <c r="H9" s="80"/>
    </row>
    <row r="10" spans="1:9" ht="15" customHeight="1" x14ac:dyDescent="0.2">
      <c r="A10" s="82"/>
      <c r="B10" s="78"/>
      <c r="C10" s="77"/>
      <c r="D10" s="77" t="s">
        <v>583</v>
      </c>
      <c r="E10" s="77" t="s">
        <v>584</v>
      </c>
      <c r="F10" s="183"/>
      <c r="G10" s="80"/>
      <c r="H10" s="80"/>
    </row>
    <row r="11" spans="1:9" ht="15" customHeight="1" x14ac:dyDescent="0.2">
      <c r="A11" s="92" t="s">
        <v>18</v>
      </c>
      <c r="B11" s="78"/>
      <c r="C11" s="77"/>
      <c r="D11" s="77" t="s">
        <v>585</v>
      </c>
      <c r="E11" s="127" t="s">
        <v>586</v>
      </c>
      <c r="F11" s="183"/>
      <c r="G11" s="80"/>
      <c r="H11" s="80"/>
    </row>
    <row r="12" spans="1:9" ht="15" customHeight="1" x14ac:dyDescent="0.2">
      <c r="A12" s="93" t="s">
        <v>30</v>
      </c>
      <c r="B12" s="78"/>
      <c r="C12" s="77"/>
      <c r="D12" s="77"/>
      <c r="E12" s="77"/>
      <c r="F12" s="183"/>
      <c r="G12" s="80"/>
      <c r="H12" s="80"/>
    </row>
    <row r="13" spans="1:9" ht="15" customHeight="1" x14ac:dyDescent="0.2">
      <c r="A13" s="82"/>
      <c r="B13" s="78"/>
      <c r="C13" s="77"/>
      <c r="D13" s="77"/>
      <c r="E13" s="77"/>
      <c r="F13" s="183"/>
      <c r="G13" s="80"/>
      <c r="H13" s="80"/>
    </row>
    <row r="14" spans="1:9" ht="15" customHeight="1" x14ac:dyDescent="0.2">
      <c r="A14" s="217"/>
      <c r="B14" s="84"/>
      <c r="C14" s="83"/>
      <c r="D14" s="83"/>
      <c r="E14" s="83"/>
      <c r="F14" s="184"/>
      <c r="G14" s="86"/>
      <c r="H14" s="86"/>
    </row>
    <row r="15" spans="1:9" ht="15" customHeight="1" thickBot="1" x14ac:dyDescent="0.25">
      <c r="A15" s="87" t="s">
        <v>20</v>
      </c>
      <c r="B15" s="89"/>
      <c r="C15" s="88"/>
      <c r="D15" s="208" t="s">
        <v>31</v>
      </c>
      <c r="E15" s="208" t="s">
        <v>587</v>
      </c>
      <c r="F15" s="185"/>
      <c r="G15" s="91"/>
      <c r="H15" s="91"/>
      <c r="I15" s="238"/>
    </row>
    <row r="16" spans="1:9" ht="15" customHeight="1" thickTop="1" x14ac:dyDescent="0.2">
      <c r="A16" s="82"/>
      <c r="B16" s="78"/>
      <c r="C16" s="127" t="s">
        <v>588</v>
      </c>
      <c r="D16" s="122"/>
      <c r="E16" s="127"/>
      <c r="F16" s="182" t="s">
        <v>577</v>
      </c>
      <c r="G16" s="80"/>
      <c r="H16" s="80"/>
    </row>
    <row r="17" spans="1:8" ht="15" customHeight="1" x14ac:dyDescent="0.2">
      <c r="A17" s="82"/>
      <c r="B17" s="78"/>
      <c r="C17" s="77" t="s">
        <v>589</v>
      </c>
      <c r="D17" s="127"/>
      <c r="E17" s="127"/>
      <c r="F17" s="183"/>
      <c r="G17" s="80"/>
      <c r="H17" s="80"/>
    </row>
    <row r="18" spans="1:8" ht="15" customHeight="1" x14ac:dyDescent="0.2">
      <c r="A18" s="82"/>
      <c r="B18" s="78"/>
      <c r="C18" s="77" t="s">
        <v>590</v>
      </c>
      <c r="D18" s="77"/>
      <c r="E18" s="77"/>
      <c r="F18" s="183"/>
      <c r="G18" s="80"/>
      <c r="H18" s="80"/>
    </row>
    <row r="19" spans="1:8" ht="15" customHeight="1" x14ac:dyDescent="0.2">
      <c r="A19" s="92" t="s">
        <v>41</v>
      </c>
      <c r="B19" s="78"/>
      <c r="C19" s="77"/>
      <c r="D19" s="77"/>
      <c r="E19" s="77"/>
      <c r="F19" s="183"/>
      <c r="G19" s="80"/>
      <c r="H19" s="80"/>
    </row>
    <row r="20" spans="1:8" ht="15" customHeight="1" x14ac:dyDescent="0.2">
      <c r="A20" s="216" t="s">
        <v>43</v>
      </c>
      <c r="B20" s="84"/>
      <c r="C20" s="83"/>
      <c r="D20" s="83"/>
      <c r="E20" s="83"/>
      <c r="F20" s="184"/>
      <c r="G20" s="86"/>
      <c r="H20" s="86"/>
    </row>
    <row r="21" spans="1:8" ht="13.5" thickBot="1" x14ac:dyDescent="0.25">
      <c r="A21" s="87" t="s">
        <v>20</v>
      </c>
      <c r="B21" s="89"/>
      <c r="C21" s="88" t="s">
        <v>331</v>
      </c>
      <c r="D21" s="88"/>
      <c r="E21" s="88"/>
      <c r="F21" s="185"/>
      <c r="G21" s="91"/>
      <c r="H21" s="91"/>
    </row>
    <row r="22" spans="1:8" ht="13.5" thickTop="1" x14ac:dyDescent="0.2">
      <c r="A22" s="93"/>
      <c r="B22" s="78"/>
      <c r="C22" s="77"/>
      <c r="D22" s="122" t="s">
        <v>591</v>
      </c>
      <c r="E22" s="127" t="s">
        <v>592</v>
      </c>
      <c r="F22" s="182" t="s">
        <v>577</v>
      </c>
      <c r="G22" s="80"/>
      <c r="H22" s="80"/>
    </row>
    <row r="23" spans="1:8" x14ac:dyDescent="0.2">
      <c r="A23" s="93" t="s">
        <v>593</v>
      </c>
      <c r="B23" s="78"/>
      <c r="C23" s="77"/>
      <c r="D23" s="127" t="s">
        <v>594</v>
      </c>
      <c r="E23" s="127" t="s">
        <v>595</v>
      </c>
      <c r="F23" s="183"/>
      <c r="G23" s="80"/>
      <c r="H23" s="80"/>
    </row>
    <row r="24" spans="1:8" x14ac:dyDescent="0.2">
      <c r="A24" s="93" t="s">
        <v>596</v>
      </c>
      <c r="B24" s="78"/>
      <c r="C24" s="77"/>
      <c r="D24" s="127" t="s">
        <v>597</v>
      </c>
      <c r="E24" s="127"/>
      <c r="F24" s="183"/>
      <c r="G24" s="80"/>
      <c r="H24" s="80"/>
    </row>
    <row r="25" spans="1:8" x14ac:dyDescent="0.2">
      <c r="A25" s="93"/>
      <c r="B25" s="78"/>
      <c r="C25" s="77"/>
      <c r="D25" s="77"/>
      <c r="E25" s="127"/>
      <c r="F25" s="183"/>
      <c r="G25" s="80"/>
      <c r="H25" s="80"/>
    </row>
    <row r="26" spans="1:8" x14ac:dyDescent="0.2">
      <c r="A26" s="216"/>
      <c r="B26" s="84"/>
      <c r="C26" s="83"/>
      <c r="D26" s="83"/>
      <c r="E26" s="150"/>
      <c r="F26" s="184"/>
      <c r="G26" s="86"/>
      <c r="H26" s="86"/>
    </row>
    <row r="27" spans="1:8" ht="13.5" thickBot="1" x14ac:dyDescent="0.25">
      <c r="A27" s="87" t="s">
        <v>20</v>
      </c>
      <c r="B27" s="89"/>
      <c r="C27" s="88"/>
      <c r="D27" s="88" t="s">
        <v>45</v>
      </c>
      <c r="E27" s="88" t="s">
        <v>138</v>
      </c>
      <c r="F27" s="185"/>
      <c r="G27" s="91"/>
      <c r="H27" s="91"/>
    </row>
    <row r="28" spans="1:8" ht="13.5" thickTop="1" x14ac:dyDescent="0.2">
      <c r="A28" s="76"/>
      <c r="B28" s="78"/>
      <c r="C28" s="127"/>
      <c r="D28" s="77"/>
      <c r="E28" s="127" t="s">
        <v>598</v>
      </c>
      <c r="F28" s="182" t="s">
        <v>577</v>
      </c>
      <c r="G28" s="80"/>
      <c r="H28" s="80"/>
    </row>
    <row r="29" spans="1:8" x14ac:dyDescent="0.2">
      <c r="A29" s="82"/>
      <c r="B29" s="78"/>
      <c r="C29" s="127"/>
      <c r="D29" s="77"/>
      <c r="E29" s="127" t="s">
        <v>599</v>
      </c>
      <c r="F29" s="183"/>
      <c r="G29" s="80"/>
      <c r="H29" s="80"/>
    </row>
    <row r="30" spans="1:8" x14ac:dyDescent="0.2">
      <c r="A30" s="93" t="s">
        <v>593</v>
      </c>
      <c r="B30" s="78"/>
      <c r="C30" s="127"/>
      <c r="D30" s="77"/>
      <c r="E30" s="127" t="s">
        <v>600</v>
      </c>
      <c r="F30" s="183"/>
      <c r="G30" s="80"/>
      <c r="H30" s="80"/>
    </row>
    <row r="31" spans="1:8" x14ac:dyDescent="0.2">
      <c r="A31" s="93" t="s">
        <v>601</v>
      </c>
      <c r="B31" s="78"/>
      <c r="C31" s="77"/>
      <c r="D31" s="77"/>
      <c r="E31" s="77"/>
      <c r="F31" s="183"/>
      <c r="G31" s="80"/>
      <c r="H31" s="80"/>
    </row>
    <row r="32" spans="1:8" x14ac:dyDescent="0.2">
      <c r="A32" s="92"/>
      <c r="B32" s="95"/>
      <c r="C32" s="94"/>
      <c r="D32" s="94"/>
      <c r="E32" s="94"/>
      <c r="F32" s="186"/>
      <c r="G32" s="97"/>
      <c r="H32" s="97"/>
    </row>
    <row r="33" spans="1:11" ht="13.5" thickBot="1" x14ac:dyDescent="0.25">
      <c r="A33" s="87" t="s">
        <v>20</v>
      </c>
      <c r="B33" s="89"/>
      <c r="C33" s="88"/>
      <c r="D33" s="88"/>
      <c r="E33" s="88" t="s">
        <v>224</v>
      </c>
      <c r="F33" s="185"/>
      <c r="G33" s="91"/>
      <c r="H33" s="91"/>
    </row>
    <row r="34" spans="1:11" ht="13.5" thickTop="1" x14ac:dyDescent="0.2">
      <c r="A34" s="76"/>
      <c r="B34" s="78"/>
      <c r="C34" s="127" t="s">
        <v>602</v>
      </c>
      <c r="D34" s="77"/>
      <c r="E34" s="127" t="s">
        <v>603</v>
      </c>
      <c r="F34" s="182" t="s">
        <v>577</v>
      </c>
      <c r="G34" s="80"/>
      <c r="H34" s="80"/>
    </row>
    <row r="35" spans="1:11" x14ac:dyDescent="0.2">
      <c r="A35" s="98"/>
      <c r="B35" s="120"/>
      <c r="C35" s="127" t="s">
        <v>604</v>
      </c>
      <c r="D35" s="127" t="s">
        <v>575</v>
      </c>
      <c r="E35" s="77"/>
      <c r="F35" s="183"/>
      <c r="G35" s="80"/>
      <c r="H35" s="80"/>
    </row>
    <row r="36" spans="1:11" x14ac:dyDescent="0.2">
      <c r="A36" s="92" t="s">
        <v>279</v>
      </c>
      <c r="B36" s="78"/>
      <c r="C36" s="127" t="s">
        <v>605</v>
      </c>
      <c r="D36" s="77"/>
      <c r="E36" s="77"/>
      <c r="F36" s="183"/>
      <c r="G36" s="80"/>
      <c r="H36" s="80"/>
      <c r="K36" s="118"/>
    </row>
    <row r="37" spans="1:11" x14ac:dyDescent="0.2">
      <c r="A37" s="93" t="s">
        <v>67</v>
      </c>
      <c r="B37" s="78"/>
      <c r="C37" s="77"/>
      <c r="D37" s="77"/>
      <c r="E37" s="77"/>
      <c r="F37" s="183"/>
      <c r="G37" s="80"/>
      <c r="H37" s="80"/>
    </row>
    <row r="38" spans="1:11" x14ac:dyDescent="0.2">
      <c r="A38" s="92"/>
      <c r="B38" s="84"/>
      <c r="C38" s="83"/>
      <c r="D38" s="83"/>
      <c r="E38" s="83"/>
      <c r="F38" s="184"/>
      <c r="G38" s="86"/>
      <c r="H38" s="86"/>
    </row>
    <row r="39" spans="1:11" ht="13.5" thickBot="1" x14ac:dyDescent="0.25">
      <c r="A39" s="87" t="s">
        <v>20</v>
      </c>
      <c r="B39" s="89"/>
      <c r="C39" s="88" t="s">
        <v>606</v>
      </c>
      <c r="D39" s="88" t="s">
        <v>446</v>
      </c>
      <c r="E39" s="88" t="s">
        <v>607</v>
      </c>
      <c r="F39" s="185"/>
      <c r="G39" s="91"/>
      <c r="H39" s="91"/>
    </row>
    <row r="40" spans="1:11" ht="13.5" thickTop="1" x14ac:dyDescent="0.2">
      <c r="A40" s="76"/>
      <c r="B40" s="101"/>
      <c r="C40" s="100"/>
      <c r="D40" s="100"/>
      <c r="E40" s="100"/>
      <c r="F40" s="190" t="s">
        <v>577</v>
      </c>
      <c r="G40" s="103"/>
      <c r="H40" s="103"/>
    </row>
    <row r="41" spans="1:11" x14ac:dyDescent="0.2">
      <c r="A41" s="92" t="s">
        <v>71</v>
      </c>
      <c r="B41" s="101"/>
      <c r="C41" s="100"/>
      <c r="D41" s="100"/>
      <c r="E41" s="100"/>
      <c r="F41" s="187"/>
      <c r="G41" s="103"/>
      <c r="H41" s="103"/>
    </row>
    <row r="42" spans="1:11" x14ac:dyDescent="0.2">
      <c r="A42" s="93" t="s">
        <v>72</v>
      </c>
      <c r="B42" s="105"/>
      <c r="C42" s="104"/>
      <c r="D42" s="104"/>
      <c r="E42" s="104"/>
      <c r="F42" s="188"/>
      <c r="G42" s="107"/>
      <c r="H42" s="107"/>
    </row>
    <row r="43" spans="1:11" ht="13.5" thickBot="1" x14ac:dyDescent="0.25">
      <c r="A43" s="87" t="s">
        <v>20</v>
      </c>
      <c r="B43" s="109"/>
      <c r="C43" s="108"/>
      <c r="D43" s="108"/>
      <c r="E43" s="108"/>
      <c r="F43" s="189"/>
      <c r="G43" s="111"/>
      <c r="H43" s="111"/>
    </row>
    <row r="44" spans="1:11" ht="13.5" thickTop="1" x14ac:dyDescent="0.2">
      <c r="A44" s="112" t="s">
        <v>280</v>
      </c>
      <c r="B44" s="113"/>
      <c r="C44" s="113" t="s">
        <v>52</v>
      </c>
      <c r="D44" s="113"/>
      <c r="E44" s="113"/>
      <c r="F44" s="113"/>
      <c r="G44" s="113"/>
      <c r="H44" s="113"/>
    </row>
    <row r="45" spans="1:11" x14ac:dyDescent="0.2">
      <c r="A45" s="114" t="s">
        <v>282</v>
      </c>
      <c r="B45" s="113"/>
      <c r="C45" s="218" t="s">
        <v>46</v>
      </c>
      <c r="D45" s="113"/>
      <c r="E45" s="113"/>
      <c r="F45" s="113"/>
      <c r="G45" s="113"/>
      <c r="H45" s="113"/>
    </row>
    <row r="46" spans="1:11" x14ac:dyDescent="0.2">
      <c r="A46" s="163" t="s">
        <v>394</v>
      </c>
      <c r="B46" s="164"/>
      <c r="C46" s="164"/>
      <c r="D46" s="171"/>
      <c r="E46" s="164"/>
      <c r="F46" s="164"/>
      <c r="G46" s="113"/>
      <c r="H46" s="113"/>
    </row>
    <row r="47" spans="1:11" ht="13.5" thickBot="1" x14ac:dyDescent="0.25">
      <c r="A47" s="248" t="s">
        <v>75</v>
      </c>
      <c r="B47" s="249" t="s">
        <v>76</v>
      </c>
      <c r="C47" s="113"/>
      <c r="D47" s="113"/>
      <c r="E47" s="113"/>
      <c r="F47" s="113"/>
      <c r="G47" s="113"/>
      <c r="H47" s="113"/>
    </row>
    <row r="48" spans="1:11" ht="13.5" thickTop="1" x14ac:dyDescent="0.2">
      <c r="A48" s="115"/>
      <c r="B48" s="116"/>
      <c r="C48" s="116"/>
      <c r="D48" s="170"/>
      <c r="E48" s="116"/>
      <c r="F48" s="116"/>
      <c r="G48" s="116"/>
      <c r="H48" s="285" t="s">
        <v>463</v>
      </c>
      <c r="I48" s="286">
        <f>SUM(I2:I47)</f>
        <v>1</v>
      </c>
    </row>
    <row r="49" spans="1:8" x14ac:dyDescent="0.2">
      <c r="A49" s="115"/>
      <c r="B49" s="118"/>
      <c r="C49" s="118"/>
      <c r="D49" s="118"/>
      <c r="E49" s="118"/>
      <c r="F49" s="118"/>
      <c r="G49" s="118"/>
      <c r="H49" s="118"/>
    </row>
    <row r="50" spans="1:8" x14ac:dyDescent="0.2">
      <c r="A50" s="115"/>
      <c r="B50" s="118"/>
      <c r="C50" s="118"/>
      <c r="D50" s="118"/>
      <c r="E50" s="118"/>
      <c r="F50" s="118"/>
      <c r="G50" s="118"/>
      <c r="H50" s="118"/>
    </row>
    <row r="51" spans="1:8" x14ac:dyDescent="0.2">
      <c r="A51" s="115"/>
      <c r="B51" s="118"/>
      <c r="C51" s="118"/>
      <c r="D51" s="118"/>
      <c r="E51" s="118"/>
      <c r="F51" s="118"/>
      <c r="G51" s="118"/>
      <c r="H51" s="118"/>
    </row>
    <row r="52" spans="1:8" x14ac:dyDescent="0.2">
      <c r="A52" s="115"/>
      <c r="B52" s="118"/>
      <c r="C52" s="118"/>
      <c r="D52" s="118"/>
      <c r="E52" s="118"/>
      <c r="F52" s="118"/>
      <c r="G52" s="118"/>
      <c r="H52" s="118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7"/>
      <c r="B54" s="118"/>
      <c r="C54" s="118"/>
      <c r="D54" s="118"/>
      <c r="E54" s="118"/>
      <c r="F54" s="118"/>
      <c r="G54" s="118"/>
      <c r="H54" s="118"/>
    </row>
    <row r="55" spans="1:8" x14ac:dyDescent="0.2">
      <c r="A55" s="117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5"/>
      <c r="B59" s="118"/>
      <c r="C59" s="118"/>
      <c r="D59" s="118"/>
      <c r="E59" s="118"/>
      <c r="F59" s="118"/>
      <c r="G59" s="118"/>
      <c r="H59" s="118"/>
    </row>
    <row r="60" spans="1:8" x14ac:dyDescent="0.2">
      <c r="A60" s="115"/>
      <c r="B60" s="118"/>
      <c r="C60" s="118"/>
      <c r="D60" s="118"/>
      <c r="E60" s="118"/>
      <c r="F60" s="118"/>
      <c r="G60" s="118"/>
      <c r="H60" s="118"/>
    </row>
    <row r="61" spans="1:8" x14ac:dyDescent="0.2">
      <c r="A61" s="115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</sheetData>
  <customSheetViews>
    <customSheetView guid="{413CAF1F-62E2-41F5-A4C6-2C341582DC5D}" scale="80" showPageBreaks="1" printArea="1">
      <pane ySplit="1" topLeftCell="A17" activePane="bottomLeft" state="frozen"/>
      <selection pane="bottomLeft" activeCell="C29" sqref="C29"/>
      <pageMargins left="0" right="0" top="0" bottom="0" header="0" footer="0"/>
      <printOptions gridLines="1"/>
      <pageSetup paperSize="9" scale="75" orientation="landscape" r:id="rId1"/>
      <headerFooter alignWithMargins="0">
        <oddHeader>&amp;C2019.06.10-16</oddHeader>
      </headerFooter>
    </customSheetView>
    <customSheetView guid="{46540580-8292-4E21-84A5-B58390F70AE7}" scale="80" showPageBreaks="1">
      <pane ySplit="1" topLeftCell="A2" activePane="bottomLeft" state="frozen"/>
      <selection pane="bottomLeft" activeCell="E8" sqref="E8"/>
      <pageMargins left="0" right="0" top="0" bottom="0" header="0" footer="0"/>
      <printOptions gridLines="1"/>
      <pageSetup paperSize="8" orientation="landscape" r:id="rId2"/>
      <headerFooter alignWithMargins="0">
        <oddHeader>&amp;C2019.06.10-16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G47" sqref="G47"/>
      <pageMargins left="0" right="0" top="0" bottom="0" header="0" footer="0"/>
      <printOptions gridLines="1"/>
      <pageSetup paperSize="9" scale="75" orientation="landscape" r:id="rId3"/>
      <headerFooter alignWithMargins="0">
        <oddHeader>&amp;C2019.06.10-16</oddHeader>
      </headerFooter>
    </customSheetView>
    <customSheetView guid="{4B58F0A9-071E-4376-B7AD-463366669E19}" scale="80">
      <pane ySplit="1" topLeftCell="A2" activePane="bottomLeft" state="frozen"/>
      <selection pane="bottomLeft" activeCell="G47" sqref="G47"/>
      <pageMargins left="0" right="0" top="0" bottom="0" header="0" footer="0"/>
      <printOptions gridLines="1"/>
      <pageSetup paperSize="9" scale="75" orientation="landscape" r:id="rId4"/>
      <headerFooter alignWithMargins="0">
        <oddHeader>&amp;C2019.06.10-16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&amp;C2019.06.10-16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Q19" sqref="Q19"/>
      <pageMargins left="0" right="0" top="0" bottom="0" header="0" footer="0"/>
      <printOptions gridLines="1"/>
      <pageSetup paperSize="8" scale="95" orientation="landscape" r:id="rId6"/>
      <headerFooter alignWithMargins="0">
        <oddHeader>&amp;C2019.06.10-16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G47" sqref="G47"/>
      <pageMargins left="0" right="0" top="0" bottom="0" header="0" footer="0"/>
      <printOptions gridLines="1"/>
      <pageSetup paperSize="9" scale="75" orientation="landscape" r:id="rId7"/>
      <headerFooter alignWithMargins="0">
        <oddHeader>&amp;C2019.06.10-16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A42" sqref="A42"/>
      <pageMargins left="0" right="0" top="0" bottom="0" header="0" footer="0"/>
      <printOptions gridLines="1"/>
      <pageSetup paperSize="8" scale="95" orientation="landscape" r:id="rId8"/>
      <headerFooter alignWithMargins="0">
        <oddHeader>&amp;C2019.06.10-16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G47" sqref="G47"/>
      <pageMargins left="0" right="0" top="0" bottom="0" header="0" footer="0"/>
      <printOptions gridLines="1"/>
      <pageSetup paperSize="9" scale="75" orientation="landscape" r:id="rId9"/>
      <headerFooter alignWithMargins="0">
        <oddHeader>&amp;C2019.06.10-16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Q19" sqref="Q19"/>
      <pageMargins left="0" right="0" top="0" bottom="0" header="0" footer="0"/>
      <printOptions gridLines="1"/>
      <pageSetup paperSize="8" scale="95" orientation="landscape" r:id="rId10"/>
      <headerFooter alignWithMargins="0">
        <oddHeader>&amp;C2019.06.10-16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D6" sqref="D6"/>
      <pageMargins left="0" right="0" top="0" bottom="0" header="0" footer="0"/>
      <printOptions gridLines="1"/>
      <pageSetup paperSize="8" scale="95" orientation="landscape" r:id="rId11"/>
      <headerFooter alignWithMargins="0">
        <oddHeader>&amp;C2019.06.10-16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G47" sqref="G47"/>
      <pageMargins left="0" right="0" top="0" bottom="0" header="0" footer="0"/>
      <printOptions gridLines="1"/>
      <pageSetup paperSize="9" scale="75" orientation="landscape" r:id="rId12"/>
      <headerFooter alignWithMargins="0">
        <oddHeader>&amp;C2019.06.10-16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9" scale="75" orientation="landscape" r:id="rId13"/>
  <headerFooter alignWithMargins="0">
    <oddHeader>&amp;C2019.06.10-16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Munka12"/>
  <dimension ref="A1:S139"/>
  <sheetViews>
    <sheetView zoomScale="80" zoomScaleNormal="80" zoomScaleSheetLayoutView="40" workbookViewId="0">
      <pane ySplit="1" topLeftCell="A2" activePane="bottomLeft" state="frozen"/>
      <selection pane="bottomLeft" activeCell="H32" sqref="H32"/>
    </sheetView>
  </sheetViews>
  <sheetFormatPr defaultColWidth="9.140625" defaultRowHeight="12.75" x14ac:dyDescent="0.2"/>
  <cols>
    <col min="1" max="1" width="12.28515625" style="119" customWidth="1"/>
    <col min="2" max="4" width="29.28515625" style="69" customWidth="1"/>
    <col min="5" max="5" width="26.5703125" style="69" customWidth="1"/>
    <col min="6" max="6" width="26" style="69" customWidth="1"/>
    <col min="7" max="7" width="15.42578125" style="69" customWidth="1"/>
    <col min="8" max="8" width="15.28515625" style="69" customWidth="1"/>
    <col min="9" max="9" width="12" style="223" customWidth="1"/>
    <col min="10" max="18" width="9.140625" style="69"/>
    <col min="19" max="19" width="8.85546875" customWidth="1"/>
    <col min="20" max="16384" width="9.140625" style="69"/>
  </cols>
  <sheetData>
    <row r="1" spans="1:9" ht="28.5" customHeight="1" thickTop="1" thickBot="1" x14ac:dyDescent="0.25">
      <c r="A1" s="64" t="s">
        <v>608</v>
      </c>
      <c r="B1" s="176" t="s">
        <v>609</v>
      </c>
      <c r="C1" s="65" t="s">
        <v>610</v>
      </c>
      <c r="D1" s="65" t="s">
        <v>611</v>
      </c>
      <c r="E1" s="65" t="s">
        <v>612</v>
      </c>
      <c r="F1" s="65" t="s">
        <v>613</v>
      </c>
      <c r="G1" s="67" t="s">
        <v>614</v>
      </c>
      <c r="H1" s="67" t="s">
        <v>615</v>
      </c>
      <c r="I1" s="222" t="s">
        <v>520</v>
      </c>
    </row>
    <row r="2" spans="1:9" ht="15" customHeight="1" x14ac:dyDescent="0.2">
      <c r="A2" s="70"/>
      <c r="B2" s="122" t="s">
        <v>616</v>
      </c>
      <c r="C2" s="175" t="s">
        <v>617</v>
      </c>
      <c r="D2" s="71" t="s">
        <v>618</v>
      </c>
      <c r="E2" s="122" t="s">
        <v>404</v>
      </c>
      <c r="F2" s="122" t="s">
        <v>619</v>
      </c>
      <c r="G2" s="74"/>
      <c r="H2" s="74"/>
      <c r="I2" s="222"/>
    </row>
    <row r="3" spans="1:9" ht="15" customHeight="1" x14ac:dyDescent="0.2">
      <c r="A3" s="76"/>
      <c r="B3" s="127" t="s">
        <v>473</v>
      </c>
      <c r="C3" s="157" t="s">
        <v>620</v>
      </c>
      <c r="D3" s="77"/>
      <c r="E3" s="77"/>
      <c r="F3" s="79"/>
      <c r="G3" s="80"/>
      <c r="H3" s="80"/>
      <c r="I3" s="222"/>
    </row>
    <row r="4" spans="1:9" ht="15" customHeight="1" x14ac:dyDescent="0.2">
      <c r="A4" s="76" t="s">
        <v>18</v>
      </c>
      <c r="B4" s="77"/>
      <c r="C4" s="138"/>
      <c r="D4" s="77"/>
      <c r="E4" s="127"/>
      <c r="F4" s="79"/>
      <c r="G4" s="80"/>
      <c r="H4" s="80"/>
    </row>
    <row r="5" spans="1:9" ht="15" customHeight="1" x14ac:dyDescent="0.2">
      <c r="A5" s="81" t="s">
        <v>19</v>
      </c>
      <c r="B5" s="77"/>
      <c r="C5" s="138"/>
      <c r="D5" s="77"/>
      <c r="E5" s="77"/>
      <c r="F5" s="79"/>
      <c r="G5" s="80"/>
      <c r="H5" s="80"/>
    </row>
    <row r="6" spans="1:9" ht="15" customHeight="1" x14ac:dyDescent="0.2">
      <c r="A6" s="82"/>
      <c r="B6" s="83"/>
      <c r="C6" s="139"/>
      <c r="D6" s="83"/>
      <c r="E6" s="83"/>
      <c r="F6" s="85"/>
      <c r="G6" s="86"/>
      <c r="H6" s="86"/>
    </row>
    <row r="7" spans="1:9" ht="15" customHeight="1" thickBot="1" x14ac:dyDescent="0.25">
      <c r="A7" s="159" t="s">
        <v>20</v>
      </c>
      <c r="B7" s="209" t="s">
        <v>343</v>
      </c>
      <c r="C7" s="140" t="s">
        <v>621</v>
      </c>
      <c r="D7" s="88" t="s">
        <v>621</v>
      </c>
      <c r="E7" s="77" t="s">
        <v>52</v>
      </c>
      <c r="F7" s="208" t="s">
        <v>622</v>
      </c>
      <c r="G7" s="91"/>
      <c r="H7" s="91"/>
      <c r="I7" s="224">
        <f>+'06.10-06.16'!I8</f>
        <v>1</v>
      </c>
    </row>
    <row r="8" spans="1:9" ht="15" customHeight="1" thickTop="1" x14ac:dyDescent="0.2">
      <c r="A8" s="82"/>
      <c r="B8" s="77"/>
      <c r="C8" s="77"/>
      <c r="D8" s="154"/>
      <c r="E8" s="71" t="s">
        <v>623</v>
      </c>
      <c r="F8" s="168" t="s">
        <v>624</v>
      </c>
      <c r="G8" s="80"/>
      <c r="H8" s="80"/>
    </row>
    <row r="9" spans="1:9" ht="15" customHeight="1" x14ac:dyDescent="0.2">
      <c r="A9" s="82"/>
      <c r="B9" s="77"/>
      <c r="C9" s="77"/>
      <c r="D9" s="154"/>
      <c r="E9" s="127" t="s">
        <v>417</v>
      </c>
      <c r="F9" s="168" t="s">
        <v>625</v>
      </c>
      <c r="G9" s="80"/>
      <c r="H9" s="80"/>
    </row>
    <row r="10" spans="1:9" ht="15" customHeight="1" x14ac:dyDescent="0.2">
      <c r="A10" s="92" t="s">
        <v>18</v>
      </c>
      <c r="B10" s="77"/>
      <c r="C10" s="77"/>
      <c r="D10" s="154"/>
      <c r="E10" s="77"/>
      <c r="F10" s="129"/>
      <c r="G10" s="80"/>
      <c r="H10" s="80"/>
    </row>
    <row r="11" spans="1:9" ht="15" customHeight="1" x14ac:dyDescent="0.2">
      <c r="A11" s="93" t="s">
        <v>30</v>
      </c>
      <c r="B11" s="77"/>
      <c r="C11" s="77"/>
      <c r="D11" s="154"/>
      <c r="E11" s="77"/>
      <c r="F11" s="168"/>
      <c r="G11" s="80"/>
      <c r="H11" s="80"/>
    </row>
    <row r="12" spans="1:9" ht="15" customHeight="1" x14ac:dyDescent="0.2">
      <c r="A12" s="82"/>
      <c r="B12" s="77"/>
      <c r="C12" s="77"/>
      <c r="D12" s="154"/>
      <c r="E12" s="77"/>
      <c r="F12" s="168"/>
      <c r="G12" s="80"/>
      <c r="H12" s="80"/>
    </row>
    <row r="13" spans="1:9" ht="15" customHeight="1" thickBot="1" x14ac:dyDescent="0.25">
      <c r="A13" s="82"/>
      <c r="B13" s="83"/>
      <c r="C13" s="83"/>
      <c r="D13" s="155"/>
      <c r="E13" s="158"/>
      <c r="F13" s="169"/>
      <c r="G13" s="86"/>
      <c r="H13" s="86"/>
    </row>
    <row r="14" spans="1:9" ht="15" customHeight="1" thickBot="1" x14ac:dyDescent="0.25">
      <c r="A14" s="87" t="s">
        <v>20</v>
      </c>
      <c r="B14" s="88"/>
      <c r="C14" s="88"/>
      <c r="D14" s="88"/>
      <c r="E14" s="208" t="s">
        <v>373</v>
      </c>
      <c r="F14" s="208" t="s">
        <v>373</v>
      </c>
      <c r="G14" s="91"/>
      <c r="H14" s="91"/>
      <c r="I14" s="238"/>
    </row>
    <row r="15" spans="1:9" ht="15" customHeight="1" thickTop="1" x14ac:dyDescent="0.2">
      <c r="A15" s="82"/>
      <c r="B15" s="127"/>
      <c r="C15" s="127"/>
      <c r="D15" s="77"/>
      <c r="E15" s="77"/>
      <c r="F15" s="79"/>
      <c r="G15" s="80"/>
      <c r="H15" s="80"/>
    </row>
    <row r="16" spans="1:9" ht="15" customHeight="1" x14ac:dyDescent="0.2">
      <c r="A16" s="82"/>
      <c r="B16" s="77"/>
      <c r="C16" s="77"/>
      <c r="D16" s="77"/>
      <c r="E16" s="77"/>
      <c r="F16" s="79"/>
      <c r="G16" s="80"/>
      <c r="H16" s="80"/>
    </row>
    <row r="17" spans="1:12" ht="15" customHeight="1" x14ac:dyDescent="0.2">
      <c r="A17" s="92" t="s">
        <v>41</v>
      </c>
      <c r="B17" s="77"/>
      <c r="C17" s="77"/>
      <c r="D17" s="77"/>
      <c r="E17" s="77"/>
      <c r="F17" s="79"/>
      <c r="G17" s="80"/>
      <c r="H17" s="80"/>
    </row>
    <row r="18" spans="1:12" ht="15" customHeight="1" x14ac:dyDescent="0.2">
      <c r="A18" s="93" t="s">
        <v>43</v>
      </c>
      <c r="B18" s="77"/>
      <c r="C18" s="77"/>
      <c r="D18" s="77"/>
      <c r="E18" s="77"/>
      <c r="F18" s="79"/>
      <c r="G18" s="80"/>
      <c r="H18" s="80"/>
    </row>
    <row r="19" spans="1:12" x14ac:dyDescent="0.2">
      <c r="A19" s="82"/>
      <c r="B19" s="83"/>
      <c r="C19" s="83"/>
      <c r="D19" s="83"/>
      <c r="E19" s="83"/>
      <c r="F19" s="85"/>
      <c r="G19" s="86"/>
      <c r="H19" s="86"/>
      <c r="L19" s="118"/>
    </row>
    <row r="20" spans="1:12" ht="13.5" thickBot="1" x14ac:dyDescent="0.25">
      <c r="A20" s="87" t="s">
        <v>20</v>
      </c>
      <c r="B20" s="88"/>
      <c r="C20" s="88"/>
      <c r="D20" s="88"/>
      <c r="E20" s="88"/>
      <c r="F20" s="90"/>
      <c r="G20" s="91"/>
      <c r="H20" s="91"/>
    </row>
    <row r="21" spans="1:12" ht="13.5" thickTop="1" x14ac:dyDescent="0.2">
      <c r="A21" s="82"/>
      <c r="B21" s="127" t="s">
        <v>626</v>
      </c>
      <c r="C21" s="77" t="s">
        <v>627</v>
      </c>
      <c r="D21" s="77" t="s">
        <v>628</v>
      </c>
      <c r="E21" s="122" t="s">
        <v>629</v>
      </c>
      <c r="F21" s="129" t="s">
        <v>630</v>
      </c>
      <c r="G21" s="80"/>
      <c r="H21" s="80"/>
    </row>
    <row r="22" spans="1:12" x14ac:dyDescent="0.2">
      <c r="A22" s="82"/>
      <c r="B22" s="77" t="s">
        <v>631</v>
      </c>
      <c r="C22" s="127" t="s">
        <v>483</v>
      </c>
      <c r="D22" s="77"/>
      <c r="E22" s="77" t="s">
        <v>632</v>
      </c>
      <c r="F22" s="127" t="s">
        <v>526</v>
      </c>
      <c r="G22" s="80"/>
      <c r="H22" s="80"/>
    </row>
    <row r="23" spans="1:12" x14ac:dyDescent="0.2">
      <c r="A23" s="92" t="s">
        <v>593</v>
      </c>
      <c r="B23" s="77" t="s">
        <v>633</v>
      </c>
      <c r="C23" s="127" t="s">
        <v>634</v>
      </c>
      <c r="D23" s="77" t="s">
        <v>635</v>
      </c>
      <c r="E23" s="127" t="s">
        <v>636</v>
      </c>
      <c r="F23" s="129" t="s">
        <v>637</v>
      </c>
      <c r="G23" s="80"/>
      <c r="H23" s="80"/>
    </row>
    <row r="24" spans="1:12" x14ac:dyDescent="0.2">
      <c r="A24" s="93" t="s">
        <v>601</v>
      </c>
      <c r="B24" s="77"/>
      <c r="C24" s="77"/>
      <c r="D24" s="127" t="s">
        <v>638</v>
      </c>
      <c r="E24" s="77"/>
      <c r="F24" s="79"/>
      <c r="G24" s="80"/>
      <c r="H24" s="80"/>
    </row>
    <row r="25" spans="1:12" x14ac:dyDescent="0.2">
      <c r="A25" s="82"/>
      <c r="B25" s="77"/>
      <c r="C25" s="77"/>
      <c r="D25" s="77"/>
      <c r="E25" s="77"/>
      <c r="F25" s="79"/>
      <c r="G25" s="80"/>
      <c r="H25" s="80"/>
    </row>
    <row r="26" spans="1:12" x14ac:dyDescent="0.2">
      <c r="A26" s="82"/>
      <c r="B26" s="83"/>
      <c r="C26" s="83"/>
      <c r="D26" s="83"/>
      <c r="E26" s="83"/>
      <c r="F26" s="85"/>
      <c r="G26" s="86"/>
      <c r="H26" s="86"/>
    </row>
    <row r="27" spans="1:12" ht="13.5" thickBot="1" x14ac:dyDescent="0.25">
      <c r="A27" s="87" t="s">
        <v>20</v>
      </c>
      <c r="B27" s="88" t="s">
        <v>138</v>
      </c>
      <c r="C27" s="88" t="s">
        <v>138</v>
      </c>
      <c r="D27" s="88" t="s">
        <v>138</v>
      </c>
      <c r="E27" s="88" t="s">
        <v>138</v>
      </c>
      <c r="F27" s="88" t="s">
        <v>138</v>
      </c>
      <c r="G27" s="91"/>
      <c r="H27" s="91"/>
    </row>
    <row r="28" spans="1:12" ht="13.5" thickTop="1" x14ac:dyDescent="0.2">
      <c r="A28" s="76"/>
      <c r="B28" s="77" t="s">
        <v>639</v>
      </c>
      <c r="C28" s="71" t="s">
        <v>640</v>
      </c>
      <c r="D28" s="71" t="s">
        <v>641</v>
      </c>
      <c r="E28" s="71" t="s">
        <v>642</v>
      </c>
      <c r="F28" s="73" t="s">
        <v>643</v>
      </c>
      <c r="G28" s="80"/>
      <c r="H28" s="80"/>
    </row>
    <row r="29" spans="1:12" x14ac:dyDescent="0.2">
      <c r="A29" s="82"/>
      <c r="B29" s="77"/>
      <c r="C29" s="77"/>
      <c r="D29" s="77" t="s">
        <v>644</v>
      </c>
      <c r="E29" s="77"/>
      <c r="F29" s="79" t="s">
        <v>645</v>
      </c>
      <c r="G29" s="80"/>
      <c r="H29" s="80"/>
    </row>
    <row r="30" spans="1:12" x14ac:dyDescent="0.2">
      <c r="A30" s="92"/>
      <c r="B30" s="77"/>
      <c r="C30" s="77"/>
      <c r="D30" s="77" t="s">
        <v>646</v>
      </c>
      <c r="E30" s="77"/>
      <c r="F30" s="79" t="s">
        <v>647</v>
      </c>
      <c r="G30" s="80"/>
      <c r="H30" s="80"/>
    </row>
    <row r="31" spans="1:12" x14ac:dyDescent="0.2">
      <c r="A31" s="93"/>
      <c r="B31" s="77"/>
      <c r="C31" s="77"/>
      <c r="D31" s="77"/>
      <c r="E31" s="77"/>
      <c r="F31" s="79" t="s">
        <v>648</v>
      </c>
      <c r="G31" s="80"/>
      <c r="H31" s="80"/>
    </row>
    <row r="32" spans="1:12" x14ac:dyDescent="0.2">
      <c r="A32" s="92"/>
      <c r="B32" s="77"/>
      <c r="C32" s="77"/>
      <c r="D32" s="77"/>
      <c r="E32" s="77"/>
      <c r="F32" s="79" t="s">
        <v>649</v>
      </c>
      <c r="G32" s="80"/>
      <c r="H32" s="80"/>
    </row>
    <row r="33" spans="1:9" x14ac:dyDescent="0.2">
      <c r="A33" s="92"/>
      <c r="B33" s="94"/>
      <c r="C33" s="94"/>
      <c r="D33" s="94"/>
      <c r="E33" s="94"/>
      <c r="F33" s="96"/>
      <c r="G33" s="97"/>
      <c r="H33" s="97"/>
    </row>
    <row r="34" spans="1:9" ht="13.5" thickBot="1" x14ac:dyDescent="0.25">
      <c r="A34" s="87" t="s">
        <v>20</v>
      </c>
      <c r="B34" s="77"/>
      <c r="C34" s="88"/>
      <c r="D34" s="88"/>
      <c r="E34" s="88"/>
      <c r="F34" s="90"/>
      <c r="G34" s="91"/>
      <c r="H34" s="91"/>
    </row>
    <row r="35" spans="1:9" ht="14.25" thickTop="1" thickBot="1" x14ac:dyDescent="0.25">
      <c r="A35" s="76"/>
      <c r="B35" s="122" t="s">
        <v>650</v>
      </c>
      <c r="C35" s="77" t="s">
        <v>625</v>
      </c>
      <c r="D35" s="77" t="s">
        <v>651</v>
      </c>
      <c r="E35" s="77" t="s">
        <v>497</v>
      </c>
      <c r="F35" s="79" t="s">
        <v>652</v>
      </c>
      <c r="G35" s="80"/>
      <c r="H35" s="80"/>
    </row>
    <row r="36" spans="1:9" x14ac:dyDescent="0.2">
      <c r="A36" s="98"/>
      <c r="B36" s="122"/>
      <c r="C36" s="77" t="s">
        <v>653</v>
      </c>
      <c r="D36" s="77"/>
      <c r="E36" s="77" t="s">
        <v>654</v>
      </c>
      <c r="F36" s="79" t="s">
        <v>655</v>
      </c>
      <c r="G36" s="80"/>
      <c r="H36" s="80"/>
    </row>
    <row r="37" spans="1:9" x14ac:dyDescent="0.2">
      <c r="A37" s="92" t="s">
        <v>279</v>
      </c>
      <c r="B37" s="77"/>
      <c r="C37" s="127" t="s">
        <v>579</v>
      </c>
      <c r="D37" s="77"/>
      <c r="E37" s="77" t="s">
        <v>656</v>
      </c>
      <c r="F37" s="79"/>
      <c r="G37" s="80"/>
      <c r="H37" s="80"/>
    </row>
    <row r="38" spans="1:9" x14ac:dyDescent="0.2">
      <c r="A38" s="93" t="s">
        <v>67</v>
      </c>
      <c r="B38" s="77"/>
      <c r="C38" s="77" t="s">
        <v>657</v>
      </c>
      <c r="D38" s="77"/>
      <c r="E38" s="77"/>
      <c r="F38" s="219" t="s">
        <v>658</v>
      </c>
      <c r="G38" s="80"/>
      <c r="H38" s="80"/>
    </row>
    <row r="39" spans="1:9" x14ac:dyDescent="0.2">
      <c r="A39" s="92"/>
      <c r="B39" s="83"/>
      <c r="C39" s="83" t="s">
        <v>659</v>
      </c>
      <c r="D39" s="83"/>
      <c r="E39" s="83"/>
      <c r="F39" s="85"/>
      <c r="G39" s="86"/>
      <c r="H39" s="86"/>
    </row>
    <row r="40" spans="1:9" ht="13.5" thickBot="1" x14ac:dyDescent="0.25">
      <c r="A40" s="87" t="s">
        <v>20</v>
      </c>
      <c r="B40" s="158" t="s">
        <v>224</v>
      </c>
      <c r="C40" s="158" t="s">
        <v>224</v>
      </c>
      <c r="D40" s="158" t="s">
        <v>224</v>
      </c>
      <c r="E40" s="158" t="s">
        <v>277</v>
      </c>
      <c r="F40" s="158" t="s">
        <v>224</v>
      </c>
      <c r="G40" s="91"/>
      <c r="H40" s="91"/>
    </row>
    <row r="41" spans="1:9" ht="13.5" thickTop="1" x14ac:dyDescent="0.2">
      <c r="A41" s="76"/>
      <c r="B41" s="127"/>
      <c r="C41" s="122" t="s">
        <v>660</v>
      </c>
      <c r="D41" s="122" t="s">
        <v>660</v>
      </c>
      <c r="E41" s="100"/>
      <c r="F41" s="102"/>
      <c r="G41" s="103"/>
      <c r="H41" s="103"/>
    </row>
    <row r="42" spans="1:9" x14ac:dyDescent="0.2">
      <c r="A42" s="92" t="s">
        <v>71</v>
      </c>
      <c r="B42" s="100"/>
      <c r="C42" s="77"/>
      <c r="D42" s="77"/>
      <c r="E42" s="100"/>
      <c r="F42" s="102"/>
      <c r="G42" s="103"/>
      <c r="H42" s="103"/>
    </row>
    <row r="43" spans="1:9" x14ac:dyDescent="0.2">
      <c r="A43" s="93" t="s">
        <v>72</v>
      </c>
      <c r="B43" s="104"/>
      <c r="C43" s="83"/>
      <c r="D43" s="83"/>
      <c r="E43" s="104"/>
      <c r="F43" s="106"/>
      <c r="G43" s="107"/>
      <c r="H43" s="107"/>
    </row>
    <row r="44" spans="1:9" ht="13.5" thickBot="1" x14ac:dyDescent="0.25">
      <c r="A44" s="87" t="s">
        <v>20</v>
      </c>
      <c r="B44" s="108" t="s">
        <v>154</v>
      </c>
      <c r="C44" s="209" t="s">
        <v>661</v>
      </c>
      <c r="D44" s="209" t="s">
        <v>661</v>
      </c>
      <c r="E44" s="108"/>
      <c r="F44" s="110"/>
      <c r="G44" s="111"/>
      <c r="H44" s="111"/>
    </row>
    <row r="45" spans="1:9" ht="13.5" thickTop="1" x14ac:dyDescent="0.2">
      <c r="A45" s="112" t="s">
        <v>280</v>
      </c>
      <c r="B45" s="113" t="s">
        <v>662</v>
      </c>
      <c r="C45" s="113"/>
      <c r="D45" s="113" t="s">
        <v>662</v>
      </c>
      <c r="E45" s="113" t="s">
        <v>663</v>
      </c>
      <c r="F45" s="113"/>
      <c r="G45" s="113"/>
      <c r="H45" s="113"/>
    </row>
    <row r="46" spans="1:9" x14ac:dyDescent="0.2">
      <c r="A46" s="114" t="s">
        <v>282</v>
      </c>
      <c r="B46" s="113"/>
      <c r="C46" s="113"/>
      <c r="D46" s="113"/>
      <c r="E46" s="113"/>
      <c r="F46" s="113"/>
      <c r="G46" s="113"/>
      <c r="H46" s="113"/>
    </row>
    <row r="47" spans="1:9" x14ac:dyDescent="0.2">
      <c r="A47" s="163" t="s">
        <v>394</v>
      </c>
      <c r="B47" s="164"/>
      <c r="C47" s="164"/>
      <c r="D47" s="164"/>
      <c r="E47" s="164"/>
      <c r="F47" s="164"/>
      <c r="G47" s="113"/>
      <c r="H47" s="113"/>
    </row>
    <row r="48" spans="1:9" ht="13.5" thickBot="1" x14ac:dyDescent="0.25">
      <c r="A48" s="248" t="s">
        <v>75</v>
      </c>
      <c r="B48" s="249" t="s">
        <v>76</v>
      </c>
      <c r="C48" s="113"/>
      <c r="D48" s="113"/>
      <c r="E48" s="113"/>
      <c r="F48" s="113"/>
      <c r="G48" s="113"/>
      <c r="H48" s="285" t="s">
        <v>463</v>
      </c>
      <c r="I48" s="286">
        <f>SUM(I2:I47)</f>
        <v>1</v>
      </c>
    </row>
    <row r="49" spans="1:8" ht="13.5" thickTop="1" x14ac:dyDescent="0.2">
      <c r="A49" s="115"/>
      <c r="B49" s="116"/>
      <c r="C49" s="116"/>
      <c r="D49" s="116"/>
      <c r="E49" s="116"/>
      <c r="F49" s="116"/>
      <c r="G49" s="116"/>
      <c r="H49" s="116"/>
    </row>
    <row r="50" spans="1:8" x14ac:dyDescent="0.2">
      <c r="A50" s="117"/>
      <c r="B50" s="116"/>
      <c r="C50" s="116"/>
      <c r="D50" s="116"/>
      <c r="E50" s="116"/>
      <c r="F50" s="116"/>
      <c r="G50" s="116"/>
      <c r="H50" s="116"/>
    </row>
    <row r="51" spans="1:8" x14ac:dyDescent="0.2">
      <c r="A51" s="117"/>
      <c r="B51" s="116"/>
      <c r="C51" s="116"/>
      <c r="D51" s="116"/>
      <c r="E51" s="116"/>
      <c r="F51" s="116"/>
      <c r="G51" s="116"/>
      <c r="H51" s="116"/>
    </row>
    <row r="52" spans="1:8" x14ac:dyDescent="0.2">
      <c r="A52" s="115"/>
      <c r="B52" s="118"/>
      <c r="C52" s="118"/>
      <c r="D52" s="118"/>
      <c r="E52" s="118"/>
      <c r="F52" s="118"/>
      <c r="G52" s="118"/>
      <c r="H52" s="118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7"/>
      <c r="B59" s="118"/>
      <c r="C59" s="118"/>
      <c r="D59" s="118"/>
      <c r="E59" s="118"/>
      <c r="F59" s="118"/>
      <c r="G59" s="118"/>
      <c r="H59" s="118"/>
    </row>
    <row r="60" spans="1:8" x14ac:dyDescent="0.2">
      <c r="A60" s="117"/>
      <c r="B60" s="118"/>
      <c r="C60" s="118"/>
      <c r="D60" s="118"/>
      <c r="E60" s="118"/>
      <c r="F60" s="118"/>
      <c r="G60" s="118"/>
      <c r="H60" s="118"/>
    </row>
    <row r="61" spans="1:8" x14ac:dyDescent="0.2">
      <c r="A61" s="115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B8" sqref="B8"/>
      <pageMargins left="0" right="0" top="0" bottom="0" header="0" footer="0"/>
      <printOptions gridLines="1"/>
      <pageSetup paperSize="8" scale="95" orientation="landscape" r:id="rId1"/>
      <headerFooter alignWithMargins="0">
        <oddHeader>&amp;C2019.06.17-23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K24" sqref="K24"/>
      <pageMargins left="0" right="0" top="0" bottom="0" header="0" footer="0"/>
      <printOptions horizontalCentered="1" gridLines="1"/>
      <pageSetup paperSize="8" orientation="landscape" r:id="rId2"/>
      <headerFooter alignWithMargins="0">
        <oddHeader>&amp;C2019.06.17-23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H32" sqref="H32"/>
      <pageMargins left="0" right="0" top="0" bottom="0" header="0" footer="0"/>
      <printOptions gridLines="1"/>
      <pageSetup paperSize="9" scale="75" orientation="landscape" r:id="rId3"/>
      <headerFooter alignWithMargins="0">
        <oddHeader>&amp;C2019.06.17-23</oddHeader>
      </headerFooter>
    </customSheetView>
    <customSheetView guid="{4B58F0A9-071E-4376-B7AD-463366669E19}" scale="80">
      <pane ySplit="1" topLeftCell="A2" activePane="bottomLeft" state="frozen"/>
      <selection pane="bottomLeft" activeCell="H32" sqref="H32"/>
      <pageMargins left="0" right="0" top="0" bottom="0" header="0" footer="0"/>
      <printOptions gridLines="1"/>
      <pageSetup paperSize="9" scale="75" orientation="landscape" r:id="rId4"/>
      <headerFooter alignWithMargins="0">
        <oddHeader>&amp;C2019.06.17-23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&amp;C2019.06.17-23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C10" sqref="C10"/>
      <pageMargins left="0" right="0" top="0" bottom="0" header="0" footer="0"/>
      <printOptions gridLines="1"/>
      <pageSetup paperSize="8" scale="95" orientation="landscape" r:id="rId6"/>
      <headerFooter alignWithMargins="0">
        <oddHeader>&amp;C2019.06.17-23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H32" sqref="H32"/>
      <pageMargins left="0" right="0" top="0" bottom="0" header="0" footer="0"/>
      <printOptions gridLines="1"/>
      <pageSetup paperSize="9" scale="75" orientation="landscape" r:id="rId7"/>
      <headerFooter alignWithMargins="0">
        <oddHeader>&amp;C2019.06.17-23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D19" sqref="D19"/>
      <pageMargins left="0" right="0" top="0" bottom="0" header="0" footer="0"/>
      <printOptions gridLines="1"/>
      <pageSetup paperSize="8" scale="95" orientation="landscape" r:id="rId8"/>
      <headerFooter alignWithMargins="0">
        <oddHeader>&amp;C2019.06.17-23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H32" sqref="H32"/>
      <pageMargins left="0" right="0" top="0" bottom="0" header="0" footer="0"/>
      <printOptions gridLines="1"/>
      <pageSetup paperSize="9" scale="75" orientation="landscape" r:id="rId9"/>
      <headerFooter alignWithMargins="0">
        <oddHeader>&amp;C2019.06.17-23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C10" sqref="C10"/>
      <pageMargins left="0" right="0" top="0" bottom="0" header="0" footer="0"/>
      <printOptions gridLines="1"/>
      <pageSetup paperSize="8" scale="95" orientation="landscape" r:id="rId10"/>
      <headerFooter alignWithMargins="0">
        <oddHeader>&amp;C2019.06.17-23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E29" sqref="E29"/>
      <pageMargins left="0" right="0" top="0" bottom="0" header="0" footer="0"/>
      <printOptions gridLines="1"/>
      <pageSetup paperSize="8" scale="95" orientation="landscape" r:id="rId11"/>
      <headerFooter alignWithMargins="0">
        <oddHeader>&amp;C2019.06.17-23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H32" sqref="H32"/>
      <pageMargins left="0" right="0" top="0" bottom="0" header="0" footer="0"/>
      <printOptions gridLines="1"/>
      <pageSetup paperSize="9" scale="75" orientation="landscape" r:id="rId12"/>
      <headerFooter alignWithMargins="0">
        <oddHeader>&amp;C2019.06.17-23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9" scale="75" orientation="landscape" r:id="rId13"/>
  <headerFooter alignWithMargins="0">
    <oddHeader>&amp;C2019.06.17-23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Munka13"/>
  <dimension ref="A1:S140"/>
  <sheetViews>
    <sheetView zoomScale="80" zoomScaleNormal="80" zoomScaleSheetLayoutView="40" workbookViewId="0">
      <pane ySplit="1" topLeftCell="A2" activePane="bottomLeft" state="frozen"/>
      <selection pane="bottomLeft" activeCell="F35" sqref="F35"/>
    </sheetView>
  </sheetViews>
  <sheetFormatPr defaultColWidth="9.140625" defaultRowHeight="12.75" x14ac:dyDescent="0.2"/>
  <cols>
    <col min="1" max="1" width="12.28515625" style="119" customWidth="1"/>
    <col min="2" max="5" width="29.28515625" style="69" customWidth="1"/>
    <col min="6" max="6" width="25.7109375" style="69" customWidth="1"/>
    <col min="7" max="7" width="17.140625" style="69" customWidth="1"/>
    <col min="8" max="8" width="16.5703125" style="69" customWidth="1"/>
    <col min="9" max="9" width="12" style="223" customWidth="1"/>
    <col min="10" max="18" width="9.140625" style="69"/>
    <col min="19" max="19" width="8.85546875" customWidth="1"/>
    <col min="20" max="16384" width="9.140625" style="69"/>
  </cols>
  <sheetData>
    <row r="1" spans="1:9" ht="28.5" customHeight="1" thickTop="1" thickBot="1" x14ac:dyDescent="0.25">
      <c r="A1" s="64" t="s">
        <v>664</v>
      </c>
      <c r="B1" s="65" t="s">
        <v>665</v>
      </c>
      <c r="C1" s="65" t="s">
        <v>666</v>
      </c>
      <c r="D1" s="65" t="s">
        <v>667</v>
      </c>
      <c r="E1" s="65" t="s">
        <v>668</v>
      </c>
      <c r="F1" s="65" t="s">
        <v>669</v>
      </c>
      <c r="G1" s="67" t="s">
        <v>670</v>
      </c>
      <c r="H1" s="67" t="s">
        <v>671</v>
      </c>
      <c r="I1" s="222" t="s">
        <v>520</v>
      </c>
    </row>
    <row r="2" spans="1:9" ht="15" customHeight="1" x14ac:dyDescent="0.2">
      <c r="A2" s="70"/>
      <c r="B2" s="71" t="s">
        <v>672</v>
      </c>
      <c r="C2" s="127" t="s">
        <v>673</v>
      </c>
      <c r="D2" s="122" t="s">
        <v>674</v>
      </c>
      <c r="E2" s="122" t="s">
        <v>675</v>
      </c>
      <c r="F2" s="73" t="s">
        <v>676</v>
      </c>
      <c r="G2" s="74"/>
      <c r="H2" s="74"/>
      <c r="I2" s="222"/>
    </row>
    <row r="3" spans="1:9" ht="15" customHeight="1" x14ac:dyDescent="0.2">
      <c r="A3" s="76"/>
      <c r="B3" s="127" t="s">
        <v>677</v>
      </c>
      <c r="C3" s="77" t="s">
        <v>678</v>
      </c>
      <c r="D3" s="77"/>
      <c r="E3" s="127" t="s">
        <v>679</v>
      </c>
      <c r="F3" s="79" t="s">
        <v>680</v>
      </c>
      <c r="G3" s="80"/>
      <c r="H3" s="80"/>
      <c r="I3" s="222"/>
    </row>
    <row r="4" spans="1:9" ht="15" customHeight="1" x14ac:dyDescent="0.2">
      <c r="A4" s="76" t="s">
        <v>18</v>
      </c>
      <c r="B4" s="77" t="s">
        <v>681</v>
      </c>
      <c r="C4" s="77" t="s">
        <v>682</v>
      </c>
      <c r="D4" s="77"/>
      <c r="E4" s="77"/>
      <c r="F4" s="79" t="s">
        <v>683</v>
      </c>
      <c r="G4" s="80"/>
      <c r="H4" s="80"/>
    </row>
    <row r="5" spans="1:9" ht="15" customHeight="1" x14ac:dyDescent="0.2">
      <c r="A5" s="76"/>
      <c r="B5" s="77"/>
      <c r="C5" s="77"/>
      <c r="D5" s="77"/>
      <c r="E5" s="77"/>
      <c r="F5" s="79" t="s">
        <v>304</v>
      </c>
      <c r="G5" s="80"/>
      <c r="H5" s="80"/>
    </row>
    <row r="6" spans="1:9" ht="15" customHeight="1" x14ac:dyDescent="0.2">
      <c r="A6" s="76"/>
      <c r="B6" s="77"/>
      <c r="C6" s="77"/>
      <c r="D6" s="77"/>
      <c r="E6" s="77"/>
      <c r="F6" s="79" t="s">
        <v>684</v>
      </c>
      <c r="G6" s="80"/>
      <c r="H6" s="80"/>
    </row>
    <row r="7" spans="1:9" ht="15" customHeight="1" x14ac:dyDescent="0.2">
      <c r="A7" s="76"/>
      <c r="B7" s="77"/>
      <c r="C7" s="77"/>
      <c r="D7" s="77"/>
      <c r="E7" s="77"/>
      <c r="F7" s="85" t="s">
        <v>685</v>
      </c>
      <c r="G7" s="80"/>
      <c r="H7" s="80"/>
    </row>
    <row r="8" spans="1:9" ht="15" customHeight="1" x14ac:dyDescent="0.2">
      <c r="A8" s="81" t="s">
        <v>19</v>
      </c>
      <c r="B8" s="127"/>
      <c r="C8" s="77"/>
      <c r="D8" s="77"/>
      <c r="E8" s="77"/>
      <c r="F8" s="79" t="s">
        <v>88</v>
      </c>
      <c r="G8" s="80"/>
      <c r="H8" s="80"/>
    </row>
    <row r="9" spans="1:9" ht="15" customHeight="1" x14ac:dyDescent="0.2">
      <c r="A9" s="82"/>
      <c r="B9" s="83"/>
      <c r="C9" s="83"/>
      <c r="D9" s="83"/>
      <c r="E9" s="228" t="s">
        <v>686</v>
      </c>
      <c r="F9" s="229" t="s">
        <v>686</v>
      </c>
      <c r="G9" s="86"/>
      <c r="H9" s="86"/>
    </row>
    <row r="10" spans="1:9" ht="15" customHeight="1" thickBot="1" x14ac:dyDescent="0.25">
      <c r="A10" s="87" t="s">
        <v>20</v>
      </c>
      <c r="B10" s="88" t="s">
        <v>622</v>
      </c>
      <c r="C10" s="88" t="s">
        <v>622</v>
      </c>
      <c r="D10" s="88" t="s">
        <v>622</v>
      </c>
      <c r="E10" s="88" t="s">
        <v>622</v>
      </c>
      <c r="F10" s="88" t="s">
        <v>622</v>
      </c>
      <c r="G10" s="91"/>
      <c r="H10" s="91"/>
      <c r="I10" s="224">
        <f>+'06.17-06.23'!I7</f>
        <v>1</v>
      </c>
    </row>
    <row r="11" spans="1:9" ht="30.75" customHeight="1" thickTop="1" x14ac:dyDescent="0.2">
      <c r="A11" s="82"/>
      <c r="B11" s="127" t="s">
        <v>687</v>
      </c>
      <c r="C11" s="127" t="s">
        <v>688</v>
      </c>
      <c r="D11" s="127" t="s">
        <v>687</v>
      </c>
      <c r="E11" s="77" t="s">
        <v>689</v>
      </c>
      <c r="F11" s="231" t="s">
        <v>690</v>
      </c>
      <c r="G11" s="80"/>
      <c r="H11" s="80"/>
    </row>
    <row r="12" spans="1:9" ht="15" customHeight="1" x14ac:dyDescent="0.2">
      <c r="A12" s="82"/>
      <c r="B12" s="77"/>
      <c r="C12" s="77"/>
      <c r="D12" s="77"/>
      <c r="E12" s="77"/>
      <c r="F12" s="79"/>
      <c r="G12" s="80"/>
      <c r="H12" s="80"/>
    </row>
    <row r="13" spans="1:9" ht="15" customHeight="1" x14ac:dyDescent="0.2">
      <c r="A13" s="82"/>
      <c r="B13" s="83"/>
      <c r="C13" s="83"/>
      <c r="D13" s="83"/>
      <c r="E13" s="83"/>
      <c r="F13" s="85"/>
      <c r="G13" s="86"/>
      <c r="H13" s="86"/>
    </row>
    <row r="14" spans="1:9" ht="15" customHeight="1" thickBot="1" x14ac:dyDescent="0.25">
      <c r="A14" s="87" t="s">
        <v>20</v>
      </c>
      <c r="B14" s="208" t="s">
        <v>31</v>
      </c>
      <c r="C14" s="208" t="s">
        <v>154</v>
      </c>
      <c r="D14" s="208" t="s">
        <v>691</v>
      </c>
      <c r="E14" s="208" t="s">
        <v>31</v>
      </c>
      <c r="F14" s="208" t="s">
        <v>31</v>
      </c>
      <c r="G14" s="91"/>
      <c r="H14" s="91"/>
      <c r="I14" s="238"/>
    </row>
    <row r="15" spans="1:9" ht="15" customHeight="1" thickTop="1" x14ac:dyDescent="0.2">
      <c r="A15" s="82"/>
      <c r="B15" s="127" t="s">
        <v>692</v>
      </c>
      <c r="C15" s="127" t="s">
        <v>693</v>
      </c>
      <c r="D15" s="77" t="s">
        <v>694</v>
      </c>
      <c r="E15" s="127" t="s">
        <v>695</v>
      </c>
      <c r="F15" s="77" t="s">
        <v>696</v>
      </c>
      <c r="G15" s="80"/>
      <c r="H15" s="80"/>
    </row>
    <row r="16" spans="1:9" ht="15" customHeight="1" x14ac:dyDescent="0.2">
      <c r="A16" s="82"/>
      <c r="B16" s="127" t="s">
        <v>526</v>
      </c>
      <c r="C16" s="127" t="s">
        <v>697</v>
      </c>
      <c r="D16" s="77" t="s">
        <v>698</v>
      </c>
      <c r="E16" s="127" t="s">
        <v>699</v>
      </c>
      <c r="F16" s="77" t="s">
        <v>620</v>
      </c>
      <c r="G16" s="80"/>
      <c r="H16" s="80"/>
    </row>
    <row r="17" spans="1:8" ht="15" customHeight="1" x14ac:dyDescent="0.2">
      <c r="A17" s="92" t="s">
        <v>593</v>
      </c>
      <c r="B17" s="77"/>
      <c r="C17" s="127" t="s">
        <v>700</v>
      </c>
      <c r="D17" s="77" t="s">
        <v>497</v>
      </c>
      <c r="E17" s="127" t="s">
        <v>701</v>
      </c>
      <c r="F17" s="77" t="s">
        <v>172</v>
      </c>
      <c r="G17" s="80"/>
      <c r="H17" s="80"/>
    </row>
    <row r="18" spans="1:8" ht="15" customHeight="1" x14ac:dyDescent="0.2">
      <c r="A18" s="93">
        <v>602</v>
      </c>
      <c r="B18" s="77"/>
      <c r="C18" s="77"/>
      <c r="D18" s="77"/>
      <c r="E18" s="127" t="s">
        <v>702</v>
      </c>
      <c r="F18" s="77" t="s">
        <v>497</v>
      </c>
      <c r="G18" s="80"/>
      <c r="H18" s="80"/>
    </row>
    <row r="19" spans="1:8" x14ac:dyDescent="0.2">
      <c r="A19" s="82"/>
      <c r="B19" s="83"/>
      <c r="C19" s="127"/>
      <c r="D19" s="83"/>
      <c r="E19" s="150" t="s">
        <v>703</v>
      </c>
      <c r="F19" s="85"/>
      <c r="G19" s="86"/>
      <c r="H19" s="86"/>
    </row>
    <row r="20" spans="1:8" ht="13.5" thickBot="1" x14ac:dyDescent="0.25">
      <c r="A20" s="87" t="s">
        <v>20</v>
      </c>
      <c r="B20" s="88" t="s">
        <v>138</v>
      </c>
      <c r="C20" s="220" t="s">
        <v>138</v>
      </c>
      <c r="D20" s="88" t="s">
        <v>138</v>
      </c>
      <c r="E20" s="88" t="s">
        <v>138</v>
      </c>
      <c r="F20" s="88" t="s">
        <v>138</v>
      </c>
      <c r="G20" s="91"/>
      <c r="H20" s="91"/>
    </row>
    <row r="21" spans="1:8" ht="13.5" thickTop="1" x14ac:dyDescent="0.2">
      <c r="A21" s="82"/>
      <c r="B21" s="77"/>
      <c r="C21" s="77" t="s">
        <v>704</v>
      </c>
      <c r="D21" s="77"/>
      <c r="E21" s="77"/>
      <c r="F21" s="79"/>
      <c r="G21" s="80"/>
      <c r="H21" s="80"/>
    </row>
    <row r="22" spans="1:8" x14ac:dyDescent="0.2">
      <c r="A22" s="82"/>
      <c r="B22" s="77"/>
      <c r="C22" s="77"/>
      <c r="D22" s="77"/>
      <c r="E22" s="77"/>
      <c r="F22" s="79"/>
      <c r="G22" s="80"/>
      <c r="H22" s="80"/>
    </row>
    <row r="23" spans="1:8" x14ac:dyDescent="0.2">
      <c r="A23" s="92" t="s">
        <v>593</v>
      </c>
      <c r="B23" s="77"/>
      <c r="C23" s="77"/>
      <c r="D23" s="77"/>
      <c r="E23" s="77"/>
      <c r="F23" s="79"/>
      <c r="G23" s="80"/>
      <c r="H23" s="80"/>
    </row>
    <row r="24" spans="1:8" x14ac:dyDescent="0.2">
      <c r="A24" s="93">
        <v>601</v>
      </c>
      <c r="B24" s="77"/>
      <c r="C24" s="77"/>
      <c r="D24" s="77"/>
      <c r="E24" s="77"/>
      <c r="F24" s="79"/>
      <c r="G24" s="80"/>
      <c r="H24" s="80"/>
    </row>
    <row r="25" spans="1:8" x14ac:dyDescent="0.2">
      <c r="A25" s="82"/>
      <c r="B25" s="77"/>
      <c r="C25" s="77"/>
      <c r="D25" s="77"/>
      <c r="E25" s="77"/>
      <c r="F25" s="79"/>
      <c r="G25" s="80"/>
      <c r="H25" s="80"/>
    </row>
    <row r="26" spans="1:8" x14ac:dyDescent="0.2">
      <c r="A26" s="82"/>
      <c r="B26" s="83"/>
      <c r="C26" s="83"/>
      <c r="D26" s="83"/>
      <c r="E26" s="83"/>
      <c r="F26" s="85"/>
      <c r="G26" s="86"/>
      <c r="H26" s="86"/>
    </row>
    <row r="27" spans="1:8" ht="13.5" thickBot="1" x14ac:dyDescent="0.25">
      <c r="A27" s="87"/>
      <c r="B27" s="88"/>
      <c r="C27" s="88" t="s">
        <v>606</v>
      </c>
      <c r="D27" s="88"/>
      <c r="E27" s="88"/>
      <c r="F27" s="90"/>
      <c r="G27" s="91"/>
      <c r="H27" s="91"/>
    </row>
    <row r="28" spans="1:8" ht="13.5" thickTop="1" x14ac:dyDescent="0.2">
      <c r="A28" s="76"/>
      <c r="B28" s="71" t="s">
        <v>705</v>
      </c>
      <c r="C28" s="71" t="s">
        <v>706</v>
      </c>
      <c r="D28" s="77" t="s">
        <v>707</v>
      </c>
      <c r="E28" s="77" t="s">
        <v>708</v>
      </c>
      <c r="F28" s="79" t="s">
        <v>709</v>
      </c>
      <c r="G28" s="80"/>
      <c r="H28" s="80"/>
    </row>
    <row r="29" spans="1:8" x14ac:dyDescent="0.2">
      <c r="A29" s="82"/>
      <c r="B29" s="77" t="s">
        <v>710</v>
      </c>
      <c r="C29" s="77" t="s">
        <v>711</v>
      </c>
      <c r="D29" s="77" t="s">
        <v>712</v>
      </c>
      <c r="E29" s="77" t="s">
        <v>713</v>
      </c>
      <c r="F29" s="79" t="s">
        <v>714</v>
      </c>
      <c r="G29" s="80"/>
      <c r="H29" s="80"/>
    </row>
    <row r="30" spans="1:8" x14ac:dyDescent="0.2">
      <c r="A30" s="92"/>
      <c r="B30" s="77" t="s">
        <v>715</v>
      </c>
      <c r="C30" s="77" t="s">
        <v>716</v>
      </c>
      <c r="D30" s="77" t="s">
        <v>717</v>
      </c>
      <c r="E30" s="77" t="s">
        <v>718</v>
      </c>
      <c r="F30" s="79"/>
      <c r="G30" s="80"/>
      <c r="H30" s="80"/>
    </row>
    <row r="31" spans="1:8" x14ac:dyDescent="0.2">
      <c r="A31" s="93"/>
      <c r="B31" s="77"/>
      <c r="C31" s="77"/>
      <c r="D31" s="77"/>
      <c r="E31" s="77" t="s">
        <v>528</v>
      </c>
      <c r="F31" s="79"/>
      <c r="G31" s="80"/>
      <c r="H31" s="80"/>
    </row>
    <row r="32" spans="1:8" x14ac:dyDescent="0.2">
      <c r="A32" s="92"/>
      <c r="B32" s="77"/>
      <c r="C32" s="77"/>
      <c r="D32" s="77"/>
      <c r="E32" s="77"/>
      <c r="F32" s="79"/>
      <c r="G32" s="80"/>
      <c r="H32" s="80"/>
    </row>
    <row r="33" spans="1:8" x14ac:dyDescent="0.2">
      <c r="A33" s="92"/>
      <c r="B33" s="94"/>
      <c r="C33" s="94"/>
      <c r="D33" s="94"/>
      <c r="E33" s="94"/>
      <c r="F33" s="96"/>
      <c r="G33" s="97"/>
      <c r="H33" s="97"/>
    </row>
    <row r="34" spans="1:8" ht="13.5" thickBot="1" x14ac:dyDescent="0.25">
      <c r="A34" s="87" t="s">
        <v>20</v>
      </c>
      <c r="B34" s="88"/>
      <c r="C34" s="88"/>
      <c r="D34" s="88"/>
      <c r="E34" s="88"/>
      <c r="F34" s="90"/>
      <c r="G34" s="91"/>
      <c r="H34" s="91"/>
    </row>
    <row r="35" spans="1:8" ht="13.5" thickTop="1" x14ac:dyDescent="0.2">
      <c r="A35" s="76"/>
      <c r="B35" s="127" t="s">
        <v>719</v>
      </c>
      <c r="C35" s="77" t="s">
        <v>720</v>
      </c>
      <c r="D35" s="77" t="s">
        <v>721</v>
      </c>
      <c r="E35" s="77" t="s">
        <v>721</v>
      </c>
      <c r="F35" s="127" t="s">
        <v>719</v>
      </c>
      <c r="G35" s="80"/>
      <c r="H35" s="80"/>
    </row>
    <row r="36" spans="1:8" x14ac:dyDescent="0.2">
      <c r="A36" s="98"/>
      <c r="B36" s="127"/>
      <c r="C36" s="77" t="s">
        <v>722</v>
      </c>
      <c r="D36" s="77" t="s">
        <v>723</v>
      </c>
      <c r="E36" s="77" t="s">
        <v>723</v>
      </c>
      <c r="F36" s="79"/>
      <c r="G36" s="80"/>
      <c r="H36" s="80"/>
    </row>
    <row r="37" spans="1:8" x14ac:dyDescent="0.2">
      <c r="A37" s="92" t="s">
        <v>279</v>
      </c>
      <c r="B37" s="77"/>
      <c r="C37" s="127" t="s">
        <v>719</v>
      </c>
      <c r="D37" s="77" t="s">
        <v>724</v>
      </c>
      <c r="E37" s="77" t="s">
        <v>724</v>
      </c>
      <c r="F37" s="79"/>
      <c r="G37" s="80"/>
      <c r="H37" s="80"/>
    </row>
    <row r="38" spans="1:8" x14ac:dyDescent="0.2">
      <c r="A38" s="93" t="s">
        <v>67</v>
      </c>
      <c r="B38" s="77"/>
      <c r="C38" s="77"/>
      <c r="D38" s="77"/>
      <c r="E38" s="77"/>
      <c r="F38" s="79"/>
      <c r="G38" s="80"/>
      <c r="H38" s="80"/>
    </row>
    <row r="39" spans="1:8" x14ac:dyDescent="0.2">
      <c r="A39" s="92"/>
      <c r="B39" s="83"/>
      <c r="C39" s="83"/>
      <c r="D39" s="83"/>
      <c r="E39" s="228" t="s">
        <v>725</v>
      </c>
      <c r="F39" s="230" t="s">
        <v>725</v>
      </c>
      <c r="G39" s="86"/>
      <c r="H39" s="86"/>
    </row>
    <row r="40" spans="1:8" ht="13.5" thickBot="1" x14ac:dyDescent="0.25">
      <c r="A40" s="87" t="s">
        <v>20</v>
      </c>
      <c r="B40" s="88" t="s">
        <v>726</v>
      </c>
      <c r="C40" s="88" t="s">
        <v>727</v>
      </c>
      <c r="D40" s="208" t="s">
        <v>727</v>
      </c>
      <c r="E40" s="88" t="s">
        <v>726</v>
      </c>
      <c r="F40" s="90" t="s">
        <v>726</v>
      </c>
      <c r="G40" s="91"/>
      <c r="H40" s="91"/>
    </row>
    <row r="41" spans="1:8" ht="13.5" thickTop="1" x14ac:dyDescent="0.2">
      <c r="A41" s="76"/>
      <c r="B41" s="100"/>
      <c r="C41" s="100"/>
      <c r="D41" s="100"/>
      <c r="E41" s="100"/>
      <c r="F41" s="102"/>
      <c r="G41" s="103"/>
      <c r="H41" s="103"/>
    </row>
    <row r="42" spans="1:8" x14ac:dyDescent="0.2">
      <c r="A42" s="92" t="s">
        <v>71</v>
      </c>
      <c r="B42" s="100"/>
      <c r="C42" s="100"/>
      <c r="D42" s="100"/>
      <c r="E42" s="100"/>
      <c r="F42" s="102"/>
      <c r="G42" s="103"/>
      <c r="H42" s="103"/>
    </row>
    <row r="43" spans="1:8" x14ac:dyDescent="0.2">
      <c r="A43" s="93" t="s">
        <v>72</v>
      </c>
      <c r="B43" s="104"/>
      <c r="C43" s="104"/>
      <c r="D43" s="104"/>
      <c r="E43" s="104"/>
      <c r="F43" s="106"/>
      <c r="G43" s="107"/>
      <c r="H43" s="107"/>
    </row>
    <row r="44" spans="1:8" ht="13.5" thickBot="1" x14ac:dyDescent="0.25">
      <c r="A44" s="87" t="s">
        <v>20</v>
      </c>
      <c r="B44" s="108"/>
      <c r="C44" s="108"/>
      <c r="D44" s="108"/>
      <c r="E44" s="108"/>
      <c r="F44" s="110"/>
      <c r="G44" s="111"/>
      <c r="H44" s="111"/>
    </row>
    <row r="45" spans="1:8" ht="13.5" thickTop="1" x14ac:dyDescent="0.2">
      <c r="A45" s="112" t="s">
        <v>280</v>
      </c>
      <c r="B45" s="113" t="s">
        <v>728</v>
      </c>
      <c r="C45" s="113" t="s">
        <v>69</v>
      </c>
      <c r="D45" s="113" t="s">
        <v>69</v>
      </c>
      <c r="E45" s="113" t="s">
        <v>69</v>
      </c>
      <c r="F45" s="113" t="s">
        <v>69</v>
      </c>
      <c r="G45" s="113"/>
      <c r="H45" s="113"/>
    </row>
    <row r="46" spans="1:8" x14ac:dyDescent="0.2">
      <c r="A46" s="114" t="s">
        <v>282</v>
      </c>
      <c r="B46" s="113"/>
      <c r="C46" s="113"/>
      <c r="D46" s="113"/>
      <c r="E46" s="113"/>
      <c r="F46" s="113"/>
      <c r="G46" s="113"/>
      <c r="H46" s="113"/>
    </row>
    <row r="47" spans="1:8" x14ac:dyDescent="0.2">
      <c r="A47" s="163" t="s">
        <v>394</v>
      </c>
      <c r="B47" s="164"/>
      <c r="C47" s="164"/>
      <c r="D47" s="164"/>
      <c r="E47" s="164"/>
      <c r="F47" s="164"/>
      <c r="G47" s="113"/>
      <c r="H47" s="113"/>
    </row>
    <row r="48" spans="1:8" x14ac:dyDescent="0.2">
      <c r="A48" s="115"/>
      <c r="B48" s="113"/>
      <c r="C48" s="113"/>
      <c r="D48" s="113"/>
      <c r="E48" s="113"/>
      <c r="F48" s="113"/>
      <c r="G48" s="113"/>
      <c r="H48" s="113"/>
    </row>
    <row r="49" spans="1:9" ht="13.5" thickBot="1" x14ac:dyDescent="0.25">
      <c r="A49" s="248" t="s">
        <v>75</v>
      </c>
      <c r="B49" s="249" t="s">
        <v>76</v>
      </c>
      <c r="C49" s="113"/>
      <c r="D49" s="113"/>
      <c r="E49" s="113"/>
      <c r="F49" s="113"/>
      <c r="G49" s="113"/>
      <c r="H49" s="285" t="s">
        <v>463</v>
      </c>
      <c r="I49" s="286">
        <f>SUM(I3:I48)</f>
        <v>1</v>
      </c>
    </row>
    <row r="50" spans="1:9" ht="13.5" thickTop="1" x14ac:dyDescent="0.2">
      <c r="A50" s="115"/>
      <c r="B50" s="116"/>
      <c r="C50" s="116"/>
      <c r="D50" s="116"/>
      <c r="E50" s="116"/>
      <c r="F50" s="116"/>
      <c r="G50" s="116"/>
      <c r="H50" s="116"/>
    </row>
    <row r="51" spans="1:9" x14ac:dyDescent="0.2">
      <c r="A51" s="117"/>
      <c r="B51" s="116"/>
      <c r="C51" s="116"/>
      <c r="D51" s="116"/>
      <c r="E51" s="116"/>
      <c r="F51" s="116"/>
      <c r="G51" s="116"/>
      <c r="H51" s="116"/>
    </row>
    <row r="52" spans="1:9" x14ac:dyDescent="0.2">
      <c r="A52" s="117"/>
      <c r="B52" s="116"/>
      <c r="C52" s="116"/>
      <c r="D52" s="116"/>
      <c r="E52" s="116"/>
      <c r="F52" s="116"/>
      <c r="G52" s="116"/>
      <c r="H52" s="116"/>
    </row>
    <row r="53" spans="1:9" x14ac:dyDescent="0.2">
      <c r="A53" s="115"/>
      <c r="B53" s="118"/>
      <c r="C53" s="118"/>
      <c r="D53" s="118"/>
      <c r="E53" s="118"/>
      <c r="F53" s="118"/>
      <c r="G53" s="118"/>
      <c r="H53" s="118"/>
    </row>
    <row r="54" spans="1:9" x14ac:dyDescent="0.2">
      <c r="A54" s="115"/>
      <c r="B54" s="118"/>
      <c r="C54" s="118"/>
      <c r="D54" s="118"/>
      <c r="E54" s="118"/>
      <c r="F54" s="118"/>
      <c r="G54" s="118"/>
      <c r="H54" s="118"/>
    </row>
    <row r="55" spans="1:9" x14ac:dyDescent="0.2">
      <c r="A55" s="115"/>
      <c r="B55" s="118"/>
      <c r="C55" s="118"/>
      <c r="D55" s="118"/>
      <c r="E55" s="118"/>
      <c r="F55" s="118"/>
      <c r="G55" s="118"/>
      <c r="H55" s="118"/>
    </row>
    <row r="56" spans="1:9" x14ac:dyDescent="0.2">
      <c r="A56" s="115"/>
      <c r="B56" s="118"/>
      <c r="C56" s="118"/>
      <c r="D56" s="118"/>
      <c r="E56" s="118"/>
      <c r="F56" s="118"/>
      <c r="G56" s="118"/>
      <c r="H56" s="118"/>
    </row>
    <row r="57" spans="1:9" x14ac:dyDescent="0.2">
      <c r="A57" s="115"/>
      <c r="B57" s="118"/>
      <c r="C57" s="118"/>
      <c r="D57" s="118"/>
      <c r="E57" s="118"/>
      <c r="F57" s="118"/>
      <c r="G57" s="118"/>
      <c r="H57" s="118"/>
    </row>
    <row r="58" spans="1:9" x14ac:dyDescent="0.2">
      <c r="A58" s="115"/>
      <c r="B58" s="118"/>
      <c r="C58" s="118"/>
      <c r="D58" s="118"/>
      <c r="E58" s="118"/>
      <c r="F58" s="118"/>
      <c r="G58" s="118"/>
      <c r="H58" s="118"/>
    </row>
    <row r="59" spans="1:9" x14ac:dyDescent="0.2">
      <c r="A59" s="115"/>
      <c r="B59" s="118"/>
      <c r="C59" s="118"/>
      <c r="D59" s="118"/>
      <c r="E59" s="118"/>
      <c r="F59" s="118"/>
      <c r="G59" s="118"/>
      <c r="H59" s="118"/>
    </row>
    <row r="60" spans="1:9" x14ac:dyDescent="0.2">
      <c r="A60" s="117"/>
      <c r="B60" s="118"/>
      <c r="C60" s="118"/>
      <c r="D60" s="118"/>
      <c r="E60" s="118"/>
      <c r="F60" s="118"/>
      <c r="G60" s="118"/>
      <c r="H60" s="118"/>
    </row>
    <row r="61" spans="1:9" x14ac:dyDescent="0.2">
      <c r="A61" s="117"/>
      <c r="B61" s="118"/>
      <c r="C61" s="118"/>
      <c r="D61" s="118"/>
      <c r="E61" s="118"/>
      <c r="F61" s="118"/>
      <c r="G61" s="118"/>
      <c r="H61" s="118"/>
    </row>
    <row r="62" spans="1:9" x14ac:dyDescent="0.2">
      <c r="A62" s="115"/>
      <c r="B62" s="118"/>
      <c r="C62" s="118"/>
      <c r="D62" s="118"/>
      <c r="E62" s="118"/>
      <c r="F62" s="118"/>
      <c r="G62" s="118"/>
      <c r="H62" s="118"/>
    </row>
    <row r="63" spans="1:9" x14ac:dyDescent="0.2">
      <c r="A63" s="115"/>
      <c r="B63" s="118"/>
      <c r="C63" s="118"/>
      <c r="D63" s="118"/>
      <c r="E63" s="118"/>
      <c r="F63" s="118"/>
      <c r="G63" s="118"/>
      <c r="H63" s="118"/>
    </row>
    <row r="64" spans="1:9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"/>
      <headerFooter alignWithMargins="0">
        <oddHeader>&amp;C2019.06.24-30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K63" sqref="K61:K63"/>
      <pageMargins left="0" right="0" top="0" bottom="0" header="0" footer="0"/>
      <printOptions horizontalCentered="1" gridLines="1"/>
      <pageSetup paperSize="8" orientation="landscape" r:id="rId2"/>
      <headerFooter alignWithMargins="0">
        <oddHeader>&amp;C2019.06.24-30</oddHeader>
      </headerFooter>
    </customSheetView>
    <customSheetView guid="{07BAD8F1-49B6-40C7-A1B5-B8EF23A4A904}" scale="80" showPageBreaks="1" printArea="1">
      <pane ySplit="1" topLeftCell="A5" activePane="bottomLeft" state="frozen"/>
      <selection pane="bottomLeft" activeCell="F35" sqref="F35"/>
      <pageMargins left="0" right="0" top="0" bottom="0" header="0" footer="0"/>
      <printOptions gridLines="1"/>
      <pageSetup paperSize="9" scale="75" orientation="landscape" r:id="rId3"/>
      <headerFooter alignWithMargins="0">
        <oddHeader>&amp;C2019.06.24-30</oddHeader>
      </headerFooter>
    </customSheetView>
    <customSheetView guid="{4B58F0A9-071E-4376-B7AD-463366669E19}" scale="80">
      <pane ySplit="1" topLeftCell="A2" activePane="bottomLeft" state="frozen"/>
      <selection pane="bottomLeft" activeCell="F35" sqref="F35"/>
      <pageMargins left="0" right="0" top="0" bottom="0" header="0" footer="0"/>
      <printOptions gridLines="1"/>
      <pageSetup paperSize="9" scale="75" orientation="landscape" r:id="rId4"/>
      <headerFooter alignWithMargins="0">
        <oddHeader>&amp;C2019.06.24-30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F11" sqref="F11"/>
      <pageMargins left="0" right="0" top="0" bottom="0" header="0" footer="0"/>
      <printOptions gridLines="1"/>
      <pageSetup paperSize="8" scale="95" orientation="landscape" r:id="rId5"/>
      <headerFooter alignWithMargins="0">
        <oddHeader>&amp;C2019.06.24-30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L18" sqref="L18"/>
      <pageMargins left="0" right="0" top="0" bottom="0" header="0" footer="0"/>
      <printOptions gridLines="1"/>
      <pageSetup paperSize="8" scale="95" orientation="landscape" r:id="rId6"/>
      <headerFooter alignWithMargins="0">
        <oddHeader>&amp;C2019.06.24-30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F35" sqref="F35"/>
      <pageMargins left="0" right="0" top="0" bottom="0" header="0" footer="0"/>
      <printOptions gridLines="1"/>
      <pageSetup paperSize="9" scale="75" orientation="landscape" r:id="rId7"/>
      <headerFooter alignWithMargins="0">
        <oddHeader>&amp;C2019.06.24-30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8"/>
      <headerFooter alignWithMargins="0">
        <oddHeader>&amp;C2019.06.24-30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F35" sqref="F35"/>
      <pageMargins left="0" right="0" top="0" bottom="0" header="0" footer="0"/>
      <printOptions gridLines="1"/>
      <pageSetup paperSize="9" scale="75" orientation="landscape" r:id="rId9"/>
      <headerFooter alignWithMargins="0">
        <oddHeader>&amp;C2019.06.24-30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L18" sqref="L18"/>
      <pageMargins left="0" right="0" top="0" bottom="0" header="0" footer="0"/>
      <printOptions gridLines="1"/>
      <pageSetup paperSize="8" scale="95" orientation="landscape" r:id="rId10"/>
      <headerFooter alignWithMargins="0">
        <oddHeader>&amp;C2019.06.24-30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F33" sqref="F33"/>
      <pageMargins left="0" right="0" top="0" bottom="0" header="0" footer="0"/>
      <printOptions gridLines="1"/>
      <pageSetup paperSize="8" scale="95" orientation="landscape" r:id="rId11"/>
      <headerFooter alignWithMargins="0">
        <oddHeader>&amp;C2019.06.24-30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F35" sqref="F35"/>
      <pageMargins left="0" right="0" top="0" bottom="0" header="0" footer="0"/>
      <printOptions gridLines="1"/>
      <pageSetup paperSize="9" scale="75" orientation="landscape" r:id="rId12"/>
      <headerFooter alignWithMargins="0">
        <oddHeader>&amp;C2019.06.24-30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9" scale="75" orientation="landscape" r:id="rId13"/>
  <headerFooter alignWithMargins="0">
    <oddHeader>&amp;C2019.06.24-30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Munka14"/>
  <dimension ref="A1:I139"/>
  <sheetViews>
    <sheetView zoomScale="80" zoomScaleNormal="80" zoomScaleSheetLayoutView="85" workbookViewId="0">
      <pane ySplit="1" topLeftCell="A11" activePane="bottomLeft" state="frozen"/>
      <selection pane="bottomLeft" activeCell="A38" sqref="A38"/>
    </sheetView>
  </sheetViews>
  <sheetFormatPr defaultColWidth="9.140625" defaultRowHeight="12.75" x14ac:dyDescent="0.2"/>
  <cols>
    <col min="1" max="1" width="12.28515625" style="119" customWidth="1"/>
    <col min="2" max="6" width="29.28515625" style="69" customWidth="1"/>
    <col min="7" max="7" width="16.5703125" style="69" customWidth="1"/>
    <col min="8" max="8" width="16" style="69" customWidth="1"/>
    <col min="9" max="9" width="12" style="223" customWidth="1"/>
    <col min="10" max="16384" width="9.140625" style="69"/>
  </cols>
  <sheetData>
    <row r="1" spans="1:9" ht="28.5" customHeight="1" thickTop="1" thickBot="1" x14ac:dyDescent="0.25">
      <c r="A1" s="64" t="s">
        <v>729</v>
      </c>
      <c r="B1" s="65" t="s">
        <v>730</v>
      </c>
      <c r="C1" s="65" t="s">
        <v>731</v>
      </c>
      <c r="D1" s="65" t="s">
        <v>732</v>
      </c>
      <c r="E1" s="65" t="s">
        <v>733</v>
      </c>
      <c r="F1" s="65" t="s">
        <v>734</v>
      </c>
      <c r="G1" s="67" t="s">
        <v>735</v>
      </c>
      <c r="H1" s="67" t="s">
        <v>736</v>
      </c>
      <c r="I1" s="222" t="s">
        <v>737</v>
      </c>
    </row>
    <row r="2" spans="1:9" ht="15" customHeight="1" x14ac:dyDescent="0.2">
      <c r="A2" s="76"/>
      <c r="B2" s="77"/>
      <c r="C2" s="77"/>
      <c r="D2" s="77"/>
      <c r="E2" s="77"/>
      <c r="F2" s="79"/>
      <c r="G2" s="80"/>
      <c r="H2" s="80"/>
      <c r="I2" s="222"/>
    </row>
    <row r="3" spans="1:9" ht="15" customHeight="1" x14ac:dyDescent="0.2">
      <c r="A3" s="76" t="s">
        <v>18</v>
      </c>
      <c r="B3" s="77"/>
      <c r="C3" s="77"/>
      <c r="D3" s="77"/>
      <c r="E3" s="77"/>
      <c r="F3" s="79"/>
      <c r="G3" s="80"/>
      <c r="H3" s="80"/>
      <c r="I3" s="222"/>
    </row>
    <row r="4" spans="1:9" ht="15" customHeight="1" x14ac:dyDescent="0.2">
      <c r="A4" s="81" t="s">
        <v>19</v>
      </c>
      <c r="B4" s="77"/>
      <c r="C4" s="77"/>
      <c r="D4" s="77"/>
      <c r="E4" s="77"/>
      <c r="F4" s="79"/>
      <c r="G4" s="80"/>
      <c r="H4" s="80"/>
    </row>
    <row r="5" spans="1:9" ht="15" customHeight="1" x14ac:dyDescent="0.2">
      <c r="A5" s="82"/>
      <c r="B5" s="83"/>
      <c r="C5" s="83"/>
      <c r="D5" s="83"/>
      <c r="E5" s="83"/>
      <c r="F5" s="85"/>
      <c r="G5" s="86"/>
      <c r="H5" s="86"/>
    </row>
    <row r="6" spans="1:9" ht="15" customHeight="1" thickBot="1" x14ac:dyDescent="0.25">
      <c r="A6" s="87" t="s">
        <v>20</v>
      </c>
      <c r="B6" s="88" t="s">
        <v>738</v>
      </c>
      <c r="C6" s="88"/>
      <c r="D6" s="88"/>
      <c r="E6" s="88"/>
      <c r="F6" s="90"/>
      <c r="G6" s="91"/>
      <c r="H6" s="91"/>
    </row>
    <row r="7" spans="1:9" ht="17.25" customHeight="1" thickTop="1" x14ac:dyDescent="0.2">
      <c r="A7" s="82"/>
      <c r="B7" s="231" t="s">
        <v>739</v>
      </c>
      <c r="C7" s="231" t="s">
        <v>740</v>
      </c>
      <c r="D7" s="146" t="s">
        <v>741</v>
      </c>
      <c r="E7" s="77"/>
      <c r="F7" s="129" t="s">
        <v>742</v>
      </c>
      <c r="G7" s="80"/>
      <c r="H7" s="80"/>
    </row>
    <row r="8" spans="1:9" ht="15" customHeight="1" x14ac:dyDescent="0.2">
      <c r="A8" s="82"/>
      <c r="B8" s="77"/>
      <c r="C8" s="77"/>
      <c r="D8" s="127" t="s">
        <v>743</v>
      </c>
      <c r="E8" s="77"/>
      <c r="F8" s="79"/>
      <c r="G8" s="80"/>
      <c r="H8" s="80"/>
    </row>
    <row r="9" spans="1:9" ht="15" customHeight="1" x14ac:dyDescent="0.2">
      <c r="A9" s="93" t="s">
        <v>30</v>
      </c>
      <c r="B9" s="77"/>
      <c r="C9" s="77"/>
      <c r="D9" s="77" t="s">
        <v>744</v>
      </c>
      <c r="E9" s="77"/>
      <c r="F9" s="79"/>
      <c r="G9" s="80"/>
      <c r="H9" s="80"/>
    </row>
    <row r="10" spans="1:9" ht="15" customHeight="1" x14ac:dyDescent="0.2">
      <c r="A10" s="82"/>
      <c r="B10" s="83"/>
      <c r="C10" s="83"/>
      <c r="D10" s="83"/>
      <c r="E10" s="83"/>
      <c r="F10" s="85"/>
      <c r="G10" s="86"/>
      <c r="H10" s="86"/>
    </row>
    <row r="11" spans="1:9" ht="15" customHeight="1" thickBot="1" x14ac:dyDescent="0.25">
      <c r="A11" s="87" t="s">
        <v>20</v>
      </c>
      <c r="B11" s="275" t="s">
        <v>691</v>
      </c>
      <c r="C11" s="275" t="s">
        <v>31</v>
      </c>
      <c r="D11" s="88" t="s">
        <v>621</v>
      </c>
      <c r="E11" s="235" t="s">
        <v>745</v>
      </c>
      <c r="F11" s="90" t="s">
        <v>606</v>
      </c>
      <c r="G11" s="91"/>
      <c r="H11" s="91"/>
      <c r="I11" s="276">
        <v>2</v>
      </c>
    </row>
    <row r="12" spans="1:9" ht="15" customHeight="1" thickTop="1" x14ac:dyDescent="0.2">
      <c r="A12" s="82"/>
      <c r="B12" s="127" t="s">
        <v>746</v>
      </c>
      <c r="C12" s="127" t="s">
        <v>747</v>
      </c>
      <c r="D12" s="127" t="s">
        <v>748</v>
      </c>
      <c r="E12" s="127" t="s">
        <v>749</v>
      </c>
      <c r="F12" s="146" t="s">
        <v>750</v>
      </c>
      <c r="G12" s="80"/>
      <c r="H12" s="80"/>
    </row>
    <row r="13" spans="1:9" ht="15" customHeight="1" x14ac:dyDescent="0.2">
      <c r="A13" s="82"/>
      <c r="B13" s="77"/>
      <c r="C13" s="127" t="s">
        <v>492</v>
      </c>
      <c r="D13" s="77"/>
      <c r="E13" s="77"/>
      <c r="F13" s="79" t="s">
        <v>751</v>
      </c>
      <c r="G13" s="80"/>
      <c r="H13" s="80"/>
    </row>
    <row r="14" spans="1:9" ht="15" customHeight="1" x14ac:dyDescent="0.2">
      <c r="A14" s="92" t="s">
        <v>593</v>
      </c>
      <c r="B14" s="77"/>
      <c r="C14" s="77"/>
      <c r="D14" s="77"/>
      <c r="E14" s="77"/>
      <c r="F14" s="79"/>
      <c r="G14" s="80"/>
      <c r="H14" s="80"/>
    </row>
    <row r="15" spans="1:9" ht="15" customHeight="1" x14ac:dyDescent="0.2">
      <c r="A15" s="93" t="s">
        <v>601</v>
      </c>
      <c r="B15" s="77"/>
      <c r="C15" s="77"/>
      <c r="D15" s="77"/>
      <c r="E15" s="77"/>
      <c r="F15" s="79"/>
      <c r="G15" s="80"/>
      <c r="H15" s="80"/>
    </row>
    <row r="16" spans="1:9" x14ac:dyDescent="0.2">
      <c r="A16" s="82"/>
      <c r="B16" s="83"/>
      <c r="C16" s="83"/>
      <c r="D16" s="83"/>
      <c r="E16" s="83"/>
      <c r="F16" s="85"/>
      <c r="G16" s="86"/>
      <c r="H16" s="86"/>
    </row>
    <row r="17" spans="1:9" ht="13.5" thickBot="1" x14ac:dyDescent="0.25">
      <c r="A17" s="87" t="s">
        <v>20</v>
      </c>
      <c r="B17" s="88" t="s">
        <v>138</v>
      </c>
      <c r="C17" s="88" t="s">
        <v>45</v>
      </c>
      <c r="D17" s="88" t="s">
        <v>45</v>
      </c>
      <c r="E17" s="88" t="s">
        <v>45</v>
      </c>
      <c r="F17" s="90" t="s">
        <v>138</v>
      </c>
      <c r="G17" s="91"/>
      <c r="H17" s="91"/>
    </row>
    <row r="18" spans="1:9" ht="13.5" thickTop="1" x14ac:dyDescent="0.2">
      <c r="A18" s="82"/>
      <c r="B18" s="77" t="s">
        <v>752</v>
      </c>
      <c r="C18" s="127" t="s">
        <v>753</v>
      </c>
      <c r="D18" s="127"/>
      <c r="E18" s="127" t="s">
        <v>48</v>
      </c>
      <c r="F18" s="129" t="s">
        <v>754</v>
      </c>
      <c r="G18" s="80"/>
      <c r="H18" s="80"/>
    </row>
    <row r="19" spans="1:9" x14ac:dyDescent="0.2">
      <c r="A19" s="82"/>
      <c r="B19" s="77" t="s">
        <v>620</v>
      </c>
      <c r="C19" s="127" t="s">
        <v>755</v>
      </c>
      <c r="D19" s="77"/>
      <c r="E19" s="77"/>
      <c r="F19" s="129" t="s">
        <v>756</v>
      </c>
      <c r="G19" s="80"/>
      <c r="H19" s="80"/>
    </row>
    <row r="20" spans="1:9" x14ac:dyDescent="0.2">
      <c r="A20" s="92" t="s">
        <v>593</v>
      </c>
      <c r="B20" s="77"/>
      <c r="C20" s="127" t="s">
        <v>757</v>
      </c>
      <c r="D20" s="77"/>
      <c r="E20" s="77"/>
      <c r="F20" s="79" t="s">
        <v>758</v>
      </c>
      <c r="G20" s="80"/>
      <c r="H20" s="80"/>
    </row>
    <row r="21" spans="1:9" x14ac:dyDescent="0.2">
      <c r="A21" s="93" t="s">
        <v>596</v>
      </c>
      <c r="B21" s="77"/>
      <c r="C21" s="77"/>
      <c r="D21" s="77"/>
      <c r="E21" s="77"/>
      <c r="F21" s="79"/>
      <c r="G21" s="80"/>
      <c r="H21" s="80"/>
    </row>
    <row r="22" spans="1:9" x14ac:dyDescent="0.2">
      <c r="A22" s="82"/>
      <c r="B22" s="77"/>
      <c r="C22" s="77"/>
      <c r="D22" s="77"/>
      <c r="E22" s="77"/>
      <c r="F22" s="79"/>
      <c r="G22" s="80"/>
      <c r="H22" s="80"/>
    </row>
    <row r="23" spans="1:9" x14ac:dyDescent="0.2">
      <c r="A23" s="82"/>
      <c r="B23" s="83"/>
      <c r="C23" s="83"/>
      <c r="D23" s="83"/>
      <c r="E23" s="83"/>
      <c r="F23" s="85"/>
      <c r="G23" s="86"/>
      <c r="H23" s="86"/>
    </row>
    <row r="24" spans="1:9" ht="13.5" thickBot="1" x14ac:dyDescent="0.25">
      <c r="A24" s="87" t="s">
        <v>20</v>
      </c>
      <c r="B24" s="88" t="s">
        <v>622</v>
      </c>
      <c r="C24" s="88" t="s">
        <v>622</v>
      </c>
      <c r="D24" s="235" t="s">
        <v>759</v>
      </c>
      <c r="E24" s="88" t="s">
        <v>622</v>
      </c>
      <c r="F24" s="90" t="s">
        <v>622</v>
      </c>
      <c r="G24" s="91"/>
      <c r="H24" s="91"/>
    </row>
    <row r="25" spans="1:9" ht="15" customHeight="1" thickTop="1" x14ac:dyDescent="0.2">
      <c r="A25" s="82"/>
      <c r="B25" s="127" t="s">
        <v>721</v>
      </c>
      <c r="C25" s="77" t="s">
        <v>721</v>
      </c>
      <c r="D25" s="77" t="s">
        <v>760</v>
      </c>
      <c r="E25" s="127" t="s">
        <v>761</v>
      </c>
      <c r="F25" s="127" t="s">
        <v>719</v>
      </c>
      <c r="G25" s="80"/>
      <c r="H25" s="80"/>
    </row>
    <row r="26" spans="1:9" ht="15" customHeight="1" x14ac:dyDescent="0.2">
      <c r="A26" s="82"/>
      <c r="B26" s="127" t="s">
        <v>762</v>
      </c>
      <c r="C26" s="77" t="s">
        <v>762</v>
      </c>
      <c r="D26" s="77" t="s">
        <v>763</v>
      </c>
      <c r="E26" s="77"/>
      <c r="F26" s="79"/>
      <c r="G26" s="80"/>
      <c r="H26" s="80"/>
    </row>
    <row r="27" spans="1:9" ht="15" customHeight="1" x14ac:dyDescent="0.2">
      <c r="A27" s="92" t="s">
        <v>41</v>
      </c>
      <c r="B27" s="127" t="s">
        <v>764</v>
      </c>
      <c r="C27" s="77" t="s">
        <v>764</v>
      </c>
      <c r="D27" s="77"/>
      <c r="E27" s="77" t="s">
        <v>765</v>
      </c>
      <c r="F27" s="79"/>
      <c r="G27" s="80"/>
      <c r="H27" s="80"/>
    </row>
    <row r="28" spans="1:9" ht="15" customHeight="1" x14ac:dyDescent="0.2">
      <c r="A28" s="93" t="s">
        <v>43</v>
      </c>
      <c r="B28" s="77"/>
      <c r="C28" s="77"/>
      <c r="D28" s="77"/>
      <c r="E28" s="77"/>
      <c r="F28" s="79"/>
      <c r="G28" s="80"/>
      <c r="H28" s="80"/>
    </row>
    <row r="29" spans="1:9" x14ac:dyDescent="0.2">
      <c r="A29" s="82"/>
      <c r="B29" s="83"/>
      <c r="C29" s="83"/>
      <c r="D29" s="83"/>
      <c r="E29" s="83"/>
      <c r="F29" s="85"/>
      <c r="G29" s="86"/>
      <c r="H29" s="86"/>
    </row>
    <row r="30" spans="1:9" ht="13.5" thickBot="1" x14ac:dyDescent="0.25">
      <c r="A30" s="87" t="s">
        <v>20</v>
      </c>
      <c r="B30" s="88" t="s">
        <v>727</v>
      </c>
      <c r="C30" s="88" t="s">
        <v>766</v>
      </c>
      <c r="D30" s="88" t="s">
        <v>767</v>
      </c>
      <c r="E30" s="88" t="s">
        <v>768</v>
      </c>
      <c r="F30" s="275" t="s">
        <v>727</v>
      </c>
      <c r="G30" s="91"/>
      <c r="H30" s="91"/>
      <c r="I30" s="276">
        <v>1</v>
      </c>
    </row>
    <row r="31" spans="1:9" ht="13.5" thickTop="1" x14ac:dyDescent="0.2">
      <c r="A31" s="76"/>
      <c r="B31" s="77" t="s">
        <v>769</v>
      </c>
      <c r="C31" s="77" t="s">
        <v>770</v>
      </c>
      <c r="D31" s="77" t="s">
        <v>771</v>
      </c>
      <c r="E31" s="77" t="s">
        <v>772</v>
      </c>
      <c r="F31" s="79" t="s">
        <v>773</v>
      </c>
      <c r="G31" s="80"/>
      <c r="H31" s="80"/>
    </row>
    <row r="32" spans="1:9" x14ac:dyDescent="0.2">
      <c r="A32" s="82"/>
      <c r="B32" s="77" t="s">
        <v>774</v>
      </c>
      <c r="C32" s="77" t="s">
        <v>775</v>
      </c>
      <c r="D32" s="77" t="s">
        <v>776</v>
      </c>
      <c r="E32" s="77" t="s">
        <v>777</v>
      </c>
      <c r="F32" s="79" t="s">
        <v>778</v>
      </c>
      <c r="G32" s="80"/>
      <c r="H32" s="80"/>
    </row>
    <row r="33" spans="1:9" x14ac:dyDescent="0.2">
      <c r="A33" s="92" t="s">
        <v>779</v>
      </c>
      <c r="B33" s="77"/>
      <c r="C33" s="77" t="s">
        <v>780</v>
      </c>
      <c r="D33" s="77"/>
      <c r="E33" s="77" t="s">
        <v>781</v>
      </c>
      <c r="F33" s="79" t="s">
        <v>782</v>
      </c>
      <c r="G33" s="80"/>
      <c r="H33" s="80"/>
    </row>
    <row r="34" spans="1:9" x14ac:dyDescent="0.2">
      <c r="A34" s="93"/>
      <c r="B34" s="77"/>
      <c r="C34" s="77"/>
      <c r="D34" s="77"/>
      <c r="E34" s="77" t="s">
        <v>783</v>
      </c>
      <c r="F34" s="79" t="s">
        <v>784</v>
      </c>
      <c r="G34" s="80"/>
      <c r="H34" s="80"/>
    </row>
    <row r="35" spans="1:9" x14ac:dyDescent="0.2">
      <c r="A35" s="92"/>
      <c r="B35" s="77"/>
      <c r="C35" s="77"/>
      <c r="D35" s="77"/>
      <c r="E35" s="77" t="s">
        <v>785</v>
      </c>
      <c r="F35" s="79"/>
      <c r="G35" s="80"/>
      <c r="H35" s="80"/>
    </row>
    <row r="36" spans="1:9" ht="13.5" thickBot="1" x14ac:dyDescent="0.25">
      <c r="A36" s="87" t="s">
        <v>20</v>
      </c>
      <c r="B36" s="88"/>
      <c r="C36" s="88"/>
      <c r="D36" s="88"/>
      <c r="E36" s="88"/>
      <c r="F36" s="90"/>
      <c r="G36" s="91"/>
      <c r="H36" s="91"/>
    </row>
    <row r="37" spans="1:9" ht="13.5" thickTop="1" x14ac:dyDescent="0.2">
      <c r="A37" s="92" t="s">
        <v>279</v>
      </c>
      <c r="B37" s="77"/>
      <c r="C37" s="77"/>
      <c r="D37" s="77"/>
      <c r="E37" s="77"/>
      <c r="F37" s="79"/>
      <c r="G37" s="80"/>
      <c r="H37" s="80"/>
    </row>
    <row r="38" spans="1:9" x14ac:dyDescent="0.2">
      <c r="A38" s="93" t="s">
        <v>67</v>
      </c>
      <c r="B38" s="77"/>
      <c r="C38" s="77"/>
      <c r="D38" s="77"/>
      <c r="E38" s="77"/>
      <c r="F38" s="79"/>
      <c r="G38" s="80"/>
      <c r="H38" s="80"/>
    </row>
    <row r="39" spans="1:9" x14ac:dyDescent="0.2">
      <c r="A39" s="92"/>
      <c r="B39" s="83"/>
      <c r="C39" s="83"/>
      <c r="D39" s="83"/>
      <c r="E39" s="83"/>
      <c r="F39" s="85"/>
      <c r="G39" s="86"/>
      <c r="H39" s="86"/>
    </row>
    <row r="40" spans="1:9" ht="13.5" thickBot="1" x14ac:dyDescent="0.25">
      <c r="A40" s="87" t="s">
        <v>20</v>
      </c>
      <c r="B40" s="88"/>
      <c r="C40" s="88"/>
      <c r="D40" s="88"/>
      <c r="E40" s="88"/>
      <c r="F40" s="90"/>
      <c r="G40" s="91"/>
      <c r="H40" s="91"/>
    </row>
    <row r="41" spans="1:9" ht="13.5" thickTop="1" x14ac:dyDescent="0.2">
      <c r="A41" s="92" t="s">
        <v>71</v>
      </c>
      <c r="B41" s="100"/>
      <c r="C41" s="100"/>
      <c r="D41" s="100"/>
      <c r="E41" s="100"/>
      <c r="F41" s="102"/>
      <c r="G41" s="103"/>
      <c r="H41" s="103"/>
    </row>
    <row r="42" spans="1:9" x14ac:dyDescent="0.2">
      <c r="A42" s="93" t="s">
        <v>72</v>
      </c>
      <c r="B42" s="104"/>
      <c r="C42" s="104"/>
      <c r="D42" s="104"/>
      <c r="E42" s="104"/>
      <c r="F42" s="106"/>
      <c r="G42" s="107"/>
      <c r="H42" s="107"/>
    </row>
    <row r="43" spans="1:9" ht="13.5" thickBot="1" x14ac:dyDescent="0.25">
      <c r="A43" s="87" t="s">
        <v>20</v>
      </c>
      <c r="B43" s="108"/>
      <c r="C43" s="108"/>
      <c r="D43" s="108"/>
      <c r="E43" s="108"/>
      <c r="F43" s="110"/>
      <c r="G43" s="111"/>
      <c r="H43" s="111"/>
    </row>
    <row r="44" spans="1:9" ht="13.5" thickTop="1" x14ac:dyDescent="0.2">
      <c r="A44" s="112" t="s">
        <v>280</v>
      </c>
      <c r="B44" s="113"/>
      <c r="C44" s="113"/>
      <c r="D44" s="113" t="s">
        <v>154</v>
      </c>
      <c r="E44" s="113" t="s">
        <v>154</v>
      </c>
      <c r="F44" s="113" t="s">
        <v>154</v>
      </c>
      <c r="G44" s="113"/>
      <c r="H44" s="113"/>
    </row>
    <row r="45" spans="1:9" x14ac:dyDescent="0.2">
      <c r="A45" s="114" t="s">
        <v>282</v>
      </c>
      <c r="B45" s="113"/>
      <c r="C45" s="113"/>
      <c r="D45" s="113"/>
      <c r="E45" s="113"/>
      <c r="F45" s="113"/>
      <c r="G45" s="113"/>
      <c r="H45" s="113"/>
    </row>
    <row r="46" spans="1:9" x14ac:dyDescent="0.2">
      <c r="A46" s="163" t="s">
        <v>394</v>
      </c>
      <c r="B46" s="164"/>
      <c r="C46" s="164"/>
      <c r="D46" s="164"/>
      <c r="E46" s="164"/>
      <c r="F46" s="164"/>
      <c r="G46" s="113"/>
      <c r="H46" s="113"/>
    </row>
    <row r="47" spans="1:9" x14ac:dyDescent="0.2">
      <c r="A47" s="115"/>
      <c r="B47" s="113"/>
      <c r="C47" s="113"/>
      <c r="D47" s="113"/>
      <c r="E47" s="113"/>
      <c r="F47" s="113"/>
      <c r="G47" s="113"/>
      <c r="H47" s="113"/>
    </row>
    <row r="48" spans="1:9" ht="13.5" thickBot="1" x14ac:dyDescent="0.25">
      <c r="A48" s="248" t="s">
        <v>75</v>
      </c>
      <c r="B48" s="246" t="s">
        <v>76</v>
      </c>
      <c r="D48" s="113"/>
      <c r="E48" s="113"/>
      <c r="F48" s="113"/>
      <c r="G48" s="113"/>
      <c r="H48" s="285" t="s">
        <v>463</v>
      </c>
      <c r="I48" s="286">
        <f>SUM(I2:I47)</f>
        <v>3</v>
      </c>
    </row>
    <row r="49" spans="1:8" ht="13.5" thickTop="1" x14ac:dyDescent="0.2">
      <c r="A49" s="115"/>
      <c r="B49" s="116"/>
      <c r="C49" s="116"/>
      <c r="D49" s="116"/>
      <c r="E49" s="116"/>
      <c r="F49" s="116"/>
      <c r="G49" s="116"/>
      <c r="H49" s="116"/>
    </row>
    <row r="50" spans="1:8" x14ac:dyDescent="0.2">
      <c r="A50" s="117"/>
      <c r="B50" s="116"/>
      <c r="C50" s="116"/>
      <c r="D50" s="116"/>
      <c r="E50" s="116"/>
      <c r="F50" s="116"/>
      <c r="G50" s="116"/>
      <c r="H50" s="116"/>
    </row>
    <row r="51" spans="1:8" x14ac:dyDescent="0.2">
      <c r="A51" s="117"/>
      <c r="B51" s="116"/>
      <c r="C51" s="116"/>
      <c r="D51" s="116"/>
      <c r="E51" s="116"/>
      <c r="F51" s="116"/>
      <c r="G51" s="116"/>
      <c r="H51" s="116"/>
    </row>
    <row r="52" spans="1:8" x14ac:dyDescent="0.2">
      <c r="A52" s="115"/>
      <c r="B52" s="118"/>
      <c r="C52" s="118"/>
      <c r="D52" s="118"/>
      <c r="E52" s="118"/>
      <c r="F52" s="118"/>
      <c r="G52" s="118"/>
      <c r="H52" s="118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7"/>
      <c r="B59" s="118"/>
      <c r="C59" s="118"/>
      <c r="D59" s="118"/>
      <c r="E59" s="118"/>
      <c r="F59" s="118"/>
      <c r="G59" s="118"/>
      <c r="H59" s="118"/>
    </row>
    <row r="60" spans="1:8" x14ac:dyDescent="0.2">
      <c r="A60" s="117"/>
      <c r="B60" s="118"/>
      <c r="C60" s="118"/>
      <c r="D60" s="118"/>
      <c r="E60" s="118"/>
      <c r="F60" s="118"/>
      <c r="G60" s="118"/>
      <c r="H60" s="118"/>
    </row>
    <row r="61" spans="1:8" x14ac:dyDescent="0.2">
      <c r="A61" s="115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D8" sqref="D8"/>
      <pageMargins left="0" right="0" top="0" bottom="0" header="0" footer="0"/>
      <printOptions gridLines="1"/>
      <pageSetup paperSize="8" scale="95" orientation="landscape" r:id="rId1"/>
      <headerFooter alignWithMargins="0">
        <oddHeader>&amp;C2019.07.01-07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I31" sqref="I31"/>
      <pageMargins left="0" right="0" top="0" bottom="0" header="0" footer="0"/>
      <printOptions horizontalCentered="1" verticalCentered="1" gridLines="1"/>
      <pageSetup paperSize="8" scale="95" orientation="landscape" r:id="rId2"/>
      <headerFooter alignWithMargins="0">
        <oddHeader>&amp;C2019.07.01-07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A38" sqref="A38"/>
      <pageMargins left="0" right="0" top="0" bottom="0" header="0" footer="0"/>
      <printOptions gridLines="1"/>
      <pageSetup paperSize="9" scale="75" orientation="landscape" r:id="rId3"/>
      <headerFooter alignWithMargins="0">
        <oddHeader>&amp;C2019.07.01-07</oddHeader>
      </headerFooter>
    </customSheetView>
    <customSheetView guid="{4B58F0A9-071E-4376-B7AD-463366669E19}" scale="80">
      <pane ySplit="1" topLeftCell="A11" activePane="bottomLeft" state="frozen"/>
      <selection pane="bottomLeft" activeCell="B8" sqref="B8"/>
      <pageMargins left="0" right="0" top="0" bottom="0" header="0" footer="0"/>
      <printOptions gridLines="1"/>
      <pageSetup paperSize="9" scale="75" orientation="landscape" r:id="rId4"/>
      <headerFooter alignWithMargins="0">
        <oddHeader>&amp;C2019.07.01-07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B11" sqref="B11"/>
      <pageMargins left="0" right="0" top="0" bottom="0" header="0" footer="0"/>
      <printOptions gridLines="1"/>
      <pageSetup paperSize="8" scale="95" orientation="landscape" r:id="rId5"/>
      <headerFooter alignWithMargins="0">
        <oddHeader>&amp;C2019.07.01-07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I11" sqref="I11"/>
      <pageMargins left="0" right="0" top="0" bottom="0" header="0" footer="0"/>
      <printOptions gridLines="1"/>
      <pageSetup paperSize="8" scale="95" orientation="landscape" r:id="rId6"/>
      <headerFooter alignWithMargins="0">
        <oddHeader>&amp;C2019.07.01-07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A38" sqref="A38"/>
      <pageMargins left="0" right="0" top="0" bottom="0" header="0" footer="0"/>
      <printOptions gridLines="1"/>
      <pageSetup paperSize="9" scale="75" orientation="landscape" r:id="rId7"/>
      <headerFooter alignWithMargins="0">
        <oddHeader>&amp;C2019.07.01-07</oddHeader>
      </headerFooter>
    </customSheetView>
    <customSheetView guid="{CD08FFCB-5C1E-4FBC-90EE-0F61C4C5D8EE}" scale="80" showPageBreaks="1" printArea="1">
      <pane ySplit="1" topLeftCell="A8" activePane="bottomLeft" state="frozen"/>
      <selection pane="bottomLeft" activeCell="D53" sqref="D53"/>
      <pageMargins left="0" right="0" top="0" bottom="0" header="0" footer="0"/>
      <printOptions gridLines="1"/>
      <pageSetup paperSize="8" scale="95" orientation="landscape" r:id="rId8"/>
      <headerFooter alignWithMargins="0">
        <oddHeader>&amp;C2019.07.01-07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A38" sqref="A38"/>
      <pageMargins left="0" right="0" top="0" bottom="0" header="0" footer="0"/>
      <printOptions gridLines="1"/>
      <pageSetup paperSize="9" scale="75" orientation="landscape" r:id="rId9"/>
      <headerFooter alignWithMargins="0">
        <oddHeader>&amp;C2019.07.01-07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I11" sqref="I11"/>
      <pageMargins left="0" right="0" top="0" bottom="0" header="0" footer="0"/>
      <printOptions gridLines="1"/>
      <pageSetup paperSize="8" scale="95" orientation="landscape" r:id="rId10"/>
      <headerFooter alignWithMargins="0">
        <oddHeader>&amp;C2019.07.01-07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F39" sqref="F39"/>
      <pageMargins left="0" right="0" top="0" bottom="0" header="0" footer="0"/>
      <printOptions gridLines="1"/>
      <pageSetup paperSize="8" scale="95" orientation="landscape" r:id="rId11"/>
      <headerFooter alignWithMargins="0">
        <oddHeader>&amp;C2019.07.01-07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A38" sqref="A38"/>
      <pageMargins left="0" right="0" top="0" bottom="0" header="0" footer="0"/>
      <printOptions gridLines="1"/>
      <pageSetup paperSize="9" scale="75" orientation="landscape" r:id="rId12"/>
      <headerFooter alignWithMargins="0">
        <oddHeader>&amp;C2019.07.01-07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9" scale="75" orientation="landscape" r:id="rId13"/>
  <headerFooter alignWithMargins="0">
    <oddHeader>&amp;C2019.07.01-07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Munka15"/>
  <dimension ref="A1:I138"/>
  <sheetViews>
    <sheetView zoomScale="80" zoomScaleNormal="80" zoomScaleSheetLayoutView="40" workbookViewId="0">
      <pane ySplit="1" topLeftCell="A2" activePane="bottomLeft" state="frozen"/>
      <selection pane="bottomLeft" activeCell="F47" sqref="F47"/>
    </sheetView>
  </sheetViews>
  <sheetFormatPr defaultColWidth="9.140625" defaultRowHeight="14.25" x14ac:dyDescent="0.2"/>
  <cols>
    <col min="1" max="1" width="12.28515625" style="119" customWidth="1"/>
    <col min="2" max="2" width="26.7109375" style="69" customWidth="1"/>
    <col min="3" max="6" width="29.28515625" style="69" customWidth="1"/>
    <col min="7" max="7" width="14.85546875" style="69" customWidth="1"/>
    <col min="8" max="8" width="16.5703125" style="69" customWidth="1"/>
    <col min="9" max="9" width="10.85546875" style="243" customWidth="1"/>
    <col min="10" max="16384" width="9.140625" style="69"/>
  </cols>
  <sheetData>
    <row r="1" spans="1:9" ht="28.5" customHeight="1" thickTop="1" thickBot="1" x14ac:dyDescent="0.3">
      <c r="A1" s="64" t="s">
        <v>786</v>
      </c>
      <c r="B1" s="65" t="s">
        <v>787</v>
      </c>
      <c r="C1" s="65" t="s">
        <v>788</v>
      </c>
      <c r="D1" s="65" t="s">
        <v>789</v>
      </c>
      <c r="E1" s="65" t="s">
        <v>790</v>
      </c>
      <c r="F1" s="65" t="s">
        <v>791</v>
      </c>
      <c r="G1" s="67" t="s">
        <v>792</v>
      </c>
      <c r="H1" s="67" t="s">
        <v>793</v>
      </c>
      <c r="I1" s="241"/>
    </row>
    <row r="2" spans="1:9" ht="15" customHeight="1" x14ac:dyDescent="0.25">
      <c r="A2" s="70"/>
      <c r="B2" s="71"/>
      <c r="C2" s="71"/>
      <c r="D2" s="71"/>
      <c r="E2" s="71"/>
      <c r="F2" s="73"/>
      <c r="G2" s="74"/>
      <c r="H2" s="74"/>
      <c r="I2" s="242"/>
    </row>
    <row r="3" spans="1:9" ht="15" customHeight="1" x14ac:dyDescent="0.2">
      <c r="A3" s="76" t="s">
        <v>18</v>
      </c>
      <c r="B3" s="77"/>
      <c r="C3" s="77"/>
      <c r="D3" s="77"/>
      <c r="E3" s="77"/>
      <c r="F3" s="79"/>
      <c r="G3" s="80"/>
      <c r="H3" s="80"/>
    </row>
    <row r="4" spans="1:9" ht="15" customHeight="1" x14ac:dyDescent="0.2">
      <c r="A4" s="81" t="s">
        <v>19</v>
      </c>
      <c r="B4" s="77"/>
      <c r="C4" s="77"/>
      <c r="D4" s="77"/>
      <c r="E4" s="77"/>
      <c r="F4" s="79"/>
      <c r="G4" s="80"/>
      <c r="H4" s="80"/>
    </row>
    <row r="5" spans="1:9" ht="15" customHeight="1" x14ac:dyDescent="0.2">
      <c r="A5" s="82"/>
      <c r="B5" s="83"/>
      <c r="C5" s="83"/>
      <c r="D5" s="83"/>
      <c r="E5" s="83"/>
      <c r="F5" s="85"/>
      <c r="G5" s="86"/>
      <c r="H5" s="86"/>
    </row>
    <row r="6" spans="1:9" ht="15" customHeight="1" thickBot="1" x14ac:dyDescent="0.25">
      <c r="A6" s="87" t="s">
        <v>20</v>
      </c>
      <c r="B6" s="88"/>
      <c r="C6" s="88"/>
      <c r="D6" s="88"/>
      <c r="E6" s="88"/>
      <c r="F6" s="90"/>
      <c r="G6" s="91"/>
      <c r="H6" s="91"/>
    </row>
    <row r="7" spans="1:9" ht="15" customHeight="1" thickTop="1" x14ac:dyDescent="0.2">
      <c r="A7" s="82"/>
      <c r="B7" s="77" t="s">
        <v>794</v>
      </c>
      <c r="C7" s="77" t="s">
        <v>795</v>
      </c>
      <c r="D7" s="127" t="s">
        <v>796</v>
      </c>
      <c r="E7" s="127" t="s">
        <v>796</v>
      </c>
      <c r="F7" s="129" t="s">
        <v>797</v>
      </c>
      <c r="G7" s="80"/>
      <c r="H7" s="80"/>
    </row>
    <row r="8" spans="1:9" ht="15" customHeight="1" x14ac:dyDescent="0.2">
      <c r="A8" s="82"/>
      <c r="B8" s="77"/>
      <c r="C8" s="77" t="s">
        <v>798</v>
      </c>
      <c r="D8" s="127" t="s">
        <v>201</v>
      </c>
      <c r="E8" s="77"/>
      <c r="F8" s="79"/>
      <c r="G8" s="80"/>
      <c r="H8" s="80"/>
    </row>
    <row r="9" spans="1:9" ht="15" customHeight="1" x14ac:dyDescent="0.2">
      <c r="A9" s="92" t="s">
        <v>18</v>
      </c>
      <c r="B9" s="77"/>
      <c r="C9" s="77"/>
      <c r="D9" s="77"/>
      <c r="E9" s="127"/>
      <c r="F9" s="79"/>
      <c r="G9" s="80"/>
      <c r="H9" s="80"/>
    </row>
    <row r="10" spans="1:9" ht="15" customHeight="1" x14ac:dyDescent="0.3">
      <c r="A10" s="93" t="s">
        <v>30</v>
      </c>
      <c r="B10" s="239"/>
      <c r="C10" s="77"/>
      <c r="D10" s="77"/>
      <c r="E10" s="77"/>
      <c r="F10" s="79"/>
      <c r="G10" s="80"/>
      <c r="H10" s="80"/>
    </row>
    <row r="11" spans="1:9" ht="15" customHeight="1" x14ac:dyDescent="0.2">
      <c r="A11" s="82"/>
      <c r="B11" s="83"/>
      <c r="C11" s="83"/>
      <c r="D11" s="83"/>
      <c r="E11" s="83"/>
      <c r="F11" s="85"/>
      <c r="G11" s="86"/>
      <c r="H11" s="86"/>
    </row>
    <row r="12" spans="1:9" ht="15" customHeight="1" thickBot="1" x14ac:dyDescent="0.25">
      <c r="A12" s="87" t="s">
        <v>20</v>
      </c>
      <c r="B12" s="88" t="s">
        <v>31</v>
      </c>
      <c r="C12" s="240" t="s">
        <v>31</v>
      </c>
      <c r="D12" s="240" t="s">
        <v>31</v>
      </c>
      <c r="E12" s="240" t="s">
        <v>799</v>
      </c>
      <c r="F12" s="240" t="s">
        <v>31</v>
      </c>
      <c r="G12" s="91"/>
      <c r="H12" s="91"/>
      <c r="I12" s="244">
        <f>+'07.01-07.07'!I11+4</f>
        <v>6</v>
      </c>
    </row>
    <row r="13" spans="1:9" ht="15" customHeight="1" thickTop="1" x14ac:dyDescent="0.2">
      <c r="A13" s="82"/>
      <c r="B13" s="127" t="s">
        <v>800</v>
      </c>
      <c r="C13" s="127" t="s">
        <v>801</v>
      </c>
      <c r="D13" s="127" t="s">
        <v>802</v>
      </c>
      <c r="E13" s="77" t="s">
        <v>803</v>
      </c>
      <c r="F13" s="129" t="s">
        <v>804</v>
      </c>
      <c r="G13" s="80"/>
      <c r="H13" s="80"/>
    </row>
    <row r="14" spans="1:9" ht="15" customHeight="1" x14ac:dyDescent="0.2">
      <c r="A14" s="82"/>
      <c r="B14" s="77"/>
      <c r="C14" s="77" t="s">
        <v>805</v>
      </c>
      <c r="D14" s="77" t="s">
        <v>806</v>
      </c>
      <c r="E14" s="77" t="s">
        <v>807</v>
      </c>
      <c r="F14" s="79" t="s">
        <v>808</v>
      </c>
      <c r="G14" s="80"/>
      <c r="H14" s="80"/>
    </row>
    <row r="15" spans="1:9" ht="15" customHeight="1" x14ac:dyDescent="0.2">
      <c r="A15" s="92" t="s">
        <v>593</v>
      </c>
      <c r="B15" s="77"/>
      <c r="C15" s="77"/>
      <c r="D15" s="77" t="s">
        <v>809</v>
      </c>
      <c r="E15" s="77"/>
      <c r="F15" s="79"/>
      <c r="G15" s="80"/>
      <c r="H15" s="80"/>
    </row>
    <row r="16" spans="1:9" ht="15" customHeight="1" x14ac:dyDescent="0.2">
      <c r="A16" s="93">
        <v>602</v>
      </c>
      <c r="B16" s="77"/>
      <c r="C16" s="77"/>
      <c r="D16" s="77"/>
      <c r="E16" s="77"/>
      <c r="F16" s="79"/>
      <c r="G16" s="80"/>
      <c r="H16" s="80"/>
    </row>
    <row r="17" spans="1:9" x14ac:dyDescent="0.2">
      <c r="A17" s="82"/>
      <c r="B17" s="83"/>
      <c r="C17" s="83"/>
      <c r="D17" s="83"/>
      <c r="E17" s="83"/>
      <c r="F17" s="85"/>
      <c r="G17" s="86"/>
      <c r="H17" s="86"/>
    </row>
    <row r="18" spans="1:9" ht="15" thickBot="1" x14ac:dyDescent="0.25">
      <c r="A18" s="87" t="s">
        <v>20</v>
      </c>
      <c r="B18" s="88" t="s">
        <v>331</v>
      </c>
      <c r="C18" s="88" t="s">
        <v>810</v>
      </c>
      <c r="D18" s="88" t="s">
        <v>811</v>
      </c>
      <c r="E18" s="88" t="s">
        <v>810</v>
      </c>
      <c r="F18" s="90" t="s">
        <v>810</v>
      </c>
      <c r="G18" s="91"/>
      <c r="H18" s="91"/>
      <c r="I18" s="265"/>
    </row>
    <row r="19" spans="1:9" ht="15" thickTop="1" x14ac:dyDescent="0.2">
      <c r="A19" s="82"/>
      <c r="B19" s="79" t="s">
        <v>812</v>
      </c>
      <c r="C19" s="77" t="s">
        <v>813</v>
      </c>
      <c r="D19" s="127" t="s">
        <v>796</v>
      </c>
      <c r="E19" s="77"/>
      <c r="F19" s="129" t="s">
        <v>814</v>
      </c>
      <c r="G19" s="80"/>
      <c r="H19" s="80"/>
    </row>
    <row r="20" spans="1:9" x14ac:dyDescent="0.2">
      <c r="A20" s="82"/>
      <c r="B20" s="77" t="s">
        <v>813</v>
      </c>
      <c r="C20" s="77" t="s">
        <v>803</v>
      </c>
      <c r="D20" s="77"/>
      <c r="E20" s="77"/>
      <c r="F20" s="129" t="s">
        <v>815</v>
      </c>
      <c r="G20" s="80"/>
      <c r="H20" s="80"/>
    </row>
    <row r="21" spans="1:9" x14ac:dyDescent="0.2">
      <c r="A21" s="92" t="s">
        <v>593</v>
      </c>
      <c r="B21" s="77"/>
      <c r="C21" s="77"/>
      <c r="D21" s="77"/>
      <c r="E21" s="77"/>
      <c r="F21" s="79" t="s">
        <v>480</v>
      </c>
      <c r="G21" s="80"/>
      <c r="H21" s="80"/>
    </row>
    <row r="22" spans="1:9" x14ac:dyDescent="0.2">
      <c r="A22" s="93">
        <v>601</v>
      </c>
      <c r="B22" s="77"/>
      <c r="C22" s="77"/>
      <c r="D22" s="77"/>
      <c r="E22" s="77"/>
      <c r="F22" s="79"/>
      <c r="G22" s="80"/>
      <c r="H22" s="80"/>
    </row>
    <row r="23" spans="1:9" x14ac:dyDescent="0.2">
      <c r="A23" s="82"/>
      <c r="B23" s="83"/>
      <c r="C23" s="83"/>
      <c r="D23" s="83"/>
      <c r="E23" s="83"/>
      <c r="F23" s="85"/>
      <c r="G23" s="86"/>
      <c r="H23" s="86"/>
    </row>
    <row r="24" spans="1:9" ht="15" thickBot="1" x14ac:dyDescent="0.25">
      <c r="A24" s="87" t="s">
        <v>20</v>
      </c>
      <c r="B24" s="208" t="s">
        <v>622</v>
      </c>
      <c r="C24" s="88" t="s">
        <v>622</v>
      </c>
      <c r="D24" s="240" t="s">
        <v>622</v>
      </c>
      <c r="E24" s="88"/>
      <c r="F24" s="274" t="s">
        <v>622</v>
      </c>
      <c r="G24" s="91"/>
      <c r="H24" s="91"/>
      <c r="I24" s="245">
        <v>1</v>
      </c>
    </row>
    <row r="25" spans="1:9" ht="15" thickTop="1" x14ac:dyDescent="0.2">
      <c r="A25" s="76"/>
      <c r="B25" s="77"/>
      <c r="C25" s="77" t="s">
        <v>816</v>
      </c>
      <c r="D25" s="77"/>
      <c r="E25" s="77" t="s">
        <v>707</v>
      </c>
      <c r="F25" s="79" t="s">
        <v>817</v>
      </c>
      <c r="G25" s="80"/>
      <c r="H25" s="80"/>
    </row>
    <row r="26" spans="1:9" x14ac:dyDescent="0.2">
      <c r="A26" s="82"/>
      <c r="B26" s="77"/>
      <c r="C26" s="77" t="s">
        <v>818</v>
      </c>
      <c r="D26" s="77" t="s">
        <v>819</v>
      </c>
      <c r="E26" s="77" t="s">
        <v>820</v>
      </c>
      <c r="F26" s="79" t="s">
        <v>821</v>
      </c>
      <c r="G26" s="80"/>
      <c r="H26" s="80"/>
    </row>
    <row r="27" spans="1:9" x14ac:dyDescent="0.2">
      <c r="A27" s="92"/>
      <c r="B27" s="77"/>
      <c r="C27" s="77" t="s">
        <v>822</v>
      </c>
      <c r="E27" s="77"/>
      <c r="F27" s="79" t="s">
        <v>823</v>
      </c>
      <c r="G27" s="80"/>
      <c r="H27" s="80"/>
    </row>
    <row r="28" spans="1:9" x14ac:dyDescent="0.2">
      <c r="A28" s="93"/>
      <c r="B28" s="77"/>
      <c r="C28" s="77"/>
      <c r="D28" s="77"/>
      <c r="E28" s="77"/>
      <c r="F28" s="79"/>
      <c r="G28" s="80"/>
      <c r="H28" s="80"/>
    </row>
    <row r="29" spans="1:9" ht="15" thickBot="1" x14ac:dyDescent="0.25">
      <c r="A29" s="232"/>
      <c r="B29" s="158"/>
      <c r="C29" s="158"/>
      <c r="D29" s="158"/>
      <c r="E29" s="158"/>
      <c r="F29" s="233"/>
      <c r="G29" s="234"/>
      <c r="H29" s="234"/>
    </row>
    <row r="30" spans="1:9" x14ac:dyDescent="0.2">
      <c r="A30" s="93"/>
      <c r="B30" s="127" t="s">
        <v>719</v>
      </c>
      <c r="C30" s="77" t="s">
        <v>824</v>
      </c>
      <c r="D30" s="127"/>
      <c r="E30" s="77" t="s">
        <v>824</v>
      </c>
      <c r="F30" s="127" t="s">
        <v>719</v>
      </c>
      <c r="G30" s="80"/>
      <c r="H30" s="80"/>
    </row>
    <row r="31" spans="1:9" x14ac:dyDescent="0.2">
      <c r="A31" s="93"/>
      <c r="B31" s="77" t="s">
        <v>723</v>
      </c>
      <c r="C31" s="77" t="s">
        <v>723</v>
      </c>
      <c r="D31" s="77"/>
      <c r="E31" s="77" t="s">
        <v>723</v>
      </c>
      <c r="F31" s="79"/>
      <c r="G31" s="80"/>
      <c r="H31" s="80"/>
    </row>
    <row r="32" spans="1:9" x14ac:dyDescent="0.2">
      <c r="A32" s="92" t="s">
        <v>41</v>
      </c>
      <c r="B32" s="77"/>
      <c r="C32" s="127" t="s">
        <v>825</v>
      </c>
      <c r="D32" s="77"/>
      <c r="E32" s="77"/>
      <c r="F32" s="79"/>
      <c r="G32" s="80"/>
      <c r="H32" s="80"/>
    </row>
    <row r="33" spans="1:9" x14ac:dyDescent="0.2">
      <c r="A33" s="93" t="s">
        <v>725</v>
      </c>
      <c r="B33" s="77"/>
      <c r="C33" s="127" t="s">
        <v>826</v>
      </c>
      <c r="D33" s="77"/>
      <c r="E33" s="77"/>
      <c r="F33" s="79"/>
      <c r="G33" s="80"/>
      <c r="H33" s="80"/>
    </row>
    <row r="34" spans="1:9" x14ac:dyDescent="0.2">
      <c r="A34" s="92"/>
      <c r="B34" s="94"/>
      <c r="C34" s="94"/>
      <c r="D34" s="94"/>
      <c r="E34" s="94"/>
      <c r="F34" s="96"/>
      <c r="G34" s="97"/>
      <c r="H34" s="97"/>
    </row>
    <row r="35" spans="1:9" ht="15" thickBot="1" x14ac:dyDescent="0.25">
      <c r="A35" s="87" t="s">
        <v>20</v>
      </c>
      <c r="B35" s="88" t="s">
        <v>727</v>
      </c>
      <c r="C35" s="88" t="s">
        <v>727</v>
      </c>
      <c r="D35" s="88"/>
      <c r="E35" s="88" t="s">
        <v>727</v>
      </c>
      <c r="F35" s="88" t="s">
        <v>727</v>
      </c>
      <c r="G35" s="91"/>
      <c r="H35" s="91"/>
    </row>
    <row r="36" spans="1:9" ht="15" thickTop="1" x14ac:dyDescent="0.2">
      <c r="A36" s="76"/>
      <c r="B36" s="127"/>
      <c r="C36" s="77"/>
      <c r="D36" s="77"/>
      <c r="E36" s="77"/>
      <c r="F36" s="79"/>
      <c r="G36" s="80"/>
      <c r="H36" s="80"/>
    </row>
    <row r="37" spans="1:9" x14ac:dyDescent="0.2">
      <c r="A37" s="92" t="s">
        <v>279</v>
      </c>
      <c r="B37" s="77"/>
      <c r="C37" s="77"/>
      <c r="D37" s="77"/>
      <c r="E37" s="77"/>
      <c r="F37" s="79"/>
      <c r="G37" s="80"/>
      <c r="H37" s="80"/>
    </row>
    <row r="38" spans="1:9" x14ac:dyDescent="0.2">
      <c r="A38" s="93" t="s">
        <v>67</v>
      </c>
      <c r="B38" s="83"/>
      <c r="C38" s="83"/>
      <c r="D38" s="83"/>
      <c r="E38" s="83"/>
      <c r="F38" s="85"/>
      <c r="G38" s="86"/>
      <c r="H38" s="86"/>
    </row>
    <row r="39" spans="1:9" ht="15" thickBot="1" x14ac:dyDescent="0.25">
      <c r="A39" s="87" t="s">
        <v>20</v>
      </c>
      <c r="B39" s="88"/>
      <c r="C39" s="88"/>
      <c r="D39" s="88"/>
      <c r="E39" s="88"/>
      <c r="F39" s="90"/>
      <c r="G39" s="91"/>
      <c r="H39" s="91"/>
    </row>
    <row r="40" spans="1:9" ht="15" thickTop="1" x14ac:dyDescent="0.2">
      <c r="A40" s="92" t="s">
        <v>71</v>
      </c>
      <c r="B40" s="100"/>
      <c r="C40" s="100"/>
      <c r="D40" s="100"/>
      <c r="E40" s="100"/>
      <c r="F40" s="102"/>
      <c r="G40" s="103"/>
      <c r="H40" s="103"/>
    </row>
    <row r="41" spans="1:9" x14ac:dyDescent="0.2">
      <c r="A41" s="93" t="s">
        <v>72</v>
      </c>
      <c r="B41" s="104"/>
      <c r="C41" s="104"/>
      <c r="D41" s="104"/>
      <c r="E41" s="104"/>
      <c r="F41" s="106"/>
      <c r="G41" s="107"/>
      <c r="H41" s="107"/>
    </row>
    <row r="42" spans="1:9" ht="15" thickBot="1" x14ac:dyDescent="0.25">
      <c r="A42" s="87" t="s">
        <v>20</v>
      </c>
      <c r="B42" s="108"/>
      <c r="C42" s="108"/>
      <c r="D42" s="108"/>
      <c r="E42" s="108"/>
      <c r="F42" s="110"/>
      <c r="G42" s="111"/>
      <c r="H42" s="111"/>
    </row>
    <row r="43" spans="1:9" ht="15" thickTop="1" x14ac:dyDescent="0.2">
      <c r="A43" s="112" t="s">
        <v>280</v>
      </c>
      <c r="B43" s="113" t="s">
        <v>46</v>
      </c>
      <c r="C43" s="113" t="s">
        <v>46</v>
      </c>
      <c r="D43" s="113" t="s">
        <v>827</v>
      </c>
      <c r="E43" s="113" t="s">
        <v>828</v>
      </c>
      <c r="F43" s="113" t="s">
        <v>829</v>
      </c>
      <c r="G43" s="113"/>
      <c r="H43" s="113"/>
    </row>
    <row r="44" spans="1:9" x14ac:dyDescent="0.2">
      <c r="A44" s="114" t="s">
        <v>282</v>
      </c>
      <c r="B44" s="151" t="s">
        <v>153</v>
      </c>
      <c r="C44" s="151" t="s">
        <v>153</v>
      </c>
      <c r="D44" s="151" t="s">
        <v>153</v>
      </c>
      <c r="E44" s="151" t="s">
        <v>153</v>
      </c>
      <c r="F44" s="151" t="s">
        <v>153</v>
      </c>
      <c r="G44" s="113"/>
      <c r="H44" s="113"/>
    </row>
    <row r="45" spans="1:9" x14ac:dyDescent="0.2">
      <c r="A45" s="163" t="s">
        <v>394</v>
      </c>
      <c r="B45" s="164"/>
      <c r="C45" s="164"/>
      <c r="D45" s="164"/>
      <c r="E45" s="164"/>
      <c r="F45" s="164"/>
      <c r="G45" s="113"/>
      <c r="H45" s="113"/>
    </row>
    <row r="46" spans="1:9" x14ac:dyDescent="0.2">
      <c r="A46" s="115"/>
      <c r="B46" s="113"/>
      <c r="C46" s="113"/>
      <c r="D46" s="113"/>
      <c r="E46" s="113"/>
      <c r="F46" s="113"/>
      <c r="G46" s="113"/>
      <c r="H46" s="113"/>
    </row>
    <row r="47" spans="1:9" ht="13.5" thickBot="1" x14ac:dyDescent="0.25">
      <c r="A47" s="247" t="s">
        <v>75</v>
      </c>
      <c r="B47" s="246" t="s">
        <v>76</v>
      </c>
      <c r="C47" s="113"/>
      <c r="D47" s="113"/>
      <c r="E47" s="113"/>
      <c r="F47" s="113"/>
      <c r="G47" s="113"/>
      <c r="H47" s="285" t="s">
        <v>463</v>
      </c>
      <c r="I47" s="286">
        <f>SUM(I1:I46)</f>
        <v>7</v>
      </c>
    </row>
    <row r="48" spans="1:9" ht="15" thickTop="1" x14ac:dyDescent="0.2">
      <c r="A48" s="115"/>
      <c r="B48" s="116"/>
      <c r="C48" s="116"/>
      <c r="D48" s="116"/>
      <c r="E48" s="116"/>
      <c r="F48" s="116"/>
      <c r="G48" s="116"/>
      <c r="H48" s="116"/>
    </row>
    <row r="49" spans="1:8" x14ac:dyDescent="0.2">
      <c r="A49" s="117"/>
      <c r="B49" s="116"/>
      <c r="C49" s="116"/>
      <c r="D49" s="116"/>
      <c r="E49" s="116"/>
      <c r="F49" s="116"/>
      <c r="G49" s="116"/>
      <c r="H49" s="116"/>
    </row>
    <row r="50" spans="1:8" x14ac:dyDescent="0.2">
      <c r="A50" s="117"/>
      <c r="B50" s="116"/>
      <c r="C50" s="116"/>
      <c r="D50" s="116"/>
      <c r="E50" s="116"/>
      <c r="F50" s="116"/>
      <c r="G50" s="116"/>
      <c r="H50" s="116"/>
    </row>
    <row r="51" spans="1:8" x14ac:dyDescent="0.2">
      <c r="A51" s="115"/>
      <c r="B51" s="118"/>
      <c r="C51" s="118"/>
      <c r="D51" s="118"/>
      <c r="E51" s="118"/>
      <c r="F51" s="118"/>
      <c r="G51" s="118"/>
      <c r="H51" s="118"/>
    </row>
    <row r="52" spans="1:8" x14ac:dyDescent="0.2">
      <c r="A52" s="115"/>
      <c r="B52" s="118"/>
      <c r="C52" s="118"/>
      <c r="D52" s="118"/>
      <c r="E52" s="118"/>
      <c r="F52" s="118"/>
      <c r="G52" s="118"/>
      <c r="H52" s="118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7"/>
      <c r="B58" s="118"/>
      <c r="C58" s="118"/>
      <c r="D58" s="118"/>
      <c r="E58" s="118"/>
      <c r="F58" s="118"/>
      <c r="G58" s="118"/>
      <c r="H58" s="118"/>
    </row>
    <row r="59" spans="1:8" x14ac:dyDescent="0.2">
      <c r="A59" s="117"/>
      <c r="B59" s="118"/>
      <c r="C59" s="118"/>
      <c r="D59" s="118"/>
      <c r="E59" s="118"/>
      <c r="F59" s="118"/>
      <c r="G59" s="118"/>
      <c r="H59" s="118"/>
    </row>
    <row r="60" spans="1:8" x14ac:dyDescent="0.2">
      <c r="A60" s="115"/>
      <c r="B60" s="118"/>
      <c r="C60" s="118"/>
      <c r="D60" s="118"/>
      <c r="E60" s="118"/>
      <c r="F60" s="118"/>
      <c r="G60" s="118"/>
      <c r="H60" s="118"/>
    </row>
    <row r="61" spans="1:8" x14ac:dyDescent="0.2">
      <c r="A61" s="115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"/>
      <headerFooter alignWithMargins="0">
        <oddHeader>&amp;C2019.07.08-14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I24" sqref="I24"/>
      <pageMargins left="0" right="0" top="0" bottom="0" header="0" footer="0"/>
      <printOptions gridLines="1"/>
      <pageSetup paperSize="8" scale="95" orientation="landscape" r:id="rId2"/>
      <headerFooter alignWithMargins="0">
        <oddHeader>&amp;C2019.07.08-14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F21" sqref="F21"/>
      <pageMargins left="0" right="0" top="0" bottom="0" header="0" footer="0"/>
      <printOptions gridLines="1"/>
      <pageSetup paperSize="9" scale="75" orientation="landscape" r:id="rId3"/>
      <headerFooter alignWithMargins="0">
        <oddHeader>&amp;C2019.07.08-14</oddHeader>
      </headerFooter>
    </customSheetView>
    <customSheetView guid="{4B58F0A9-071E-4376-B7AD-463366669E19}" scale="80">
      <pane ySplit="1" topLeftCell="A2" activePane="bottomLeft" state="frozen"/>
      <selection pane="bottomLeft" activeCell="F10" sqref="F10"/>
      <pageMargins left="0" right="0" top="0" bottom="0" header="0" footer="0"/>
      <printOptions gridLines="1"/>
      <pageSetup paperSize="9" scale="75" orientation="landscape" r:id="rId4"/>
      <headerFooter alignWithMargins="0">
        <oddHeader>&amp;C2019.07.08-14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&amp;C2019.07.08-14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K30" sqref="K30"/>
      <pageMargins left="0" right="0" top="0" bottom="0" header="0" footer="0"/>
      <printOptions gridLines="1"/>
      <pageSetup paperSize="8" scale="95" orientation="landscape" r:id="rId6"/>
      <headerFooter alignWithMargins="0">
        <oddHeader>&amp;C2019.07.08-14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F47" sqref="F47"/>
      <pageMargins left="0" right="0" top="0" bottom="0" header="0" footer="0"/>
      <printOptions gridLines="1"/>
      <pageSetup paperSize="9" scale="75" orientation="landscape" r:id="rId7"/>
      <headerFooter alignWithMargins="0">
        <oddHeader>&amp;C2019.07.08-14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8"/>
      <headerFooter alignWithMargins="0">
        <oddHeader>&amp;C2019.07.08-14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F47" sqref="F47"/>
      <pageMargins left="0" right="0" top="0" bottom="0" header="0" footer="0"/>
      <printOptions gridLines="1"/>
      <pageSetup paperSize="9" scale="75" orientation="landscape" r:id="rId9"/>
      <headerFooter alignWithMargins="0">
        <oddHeader>&amp;C2019.07.08-14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M41" sqref="M41"/>
      <pageMargins left="0" right="0" top="0" bottom="0" header="0" footer="0"/>
      <printOptions gridLines="1"/>
      <pageSetup paperSize="8" scale="95" orientation="landscape" r:id="rId10"/>
      <headerFooter alignWithMargins="0">
        <oddHeader>&amp;C2019.07.08-14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F31" sqref="F31"/>
      <pageMargins left="0" right="0" top="0" bottom="0" header="0" footer="0"/>
      <printOptions gridLines="1"/>
      <pageSetup paperSize="8" scale="95" orientation="landscape" r:id="rId11"/>
      <headerFooter alignWithMargins="0">
        <oddHeader>&amp;C2019.07.08-14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F47" sqref="F47"/>
      <pageMargins left="0" right="0" top="0" bottom="0" header="0" footer="0"/>
      <printOptions gridLines="1"/>
      <pageSetup paperSize="9" scale="75" orientation="landscape" r:id="rId12"/>
      <headerFooter alignWithMargins="0">
        <oddHeader>&amp;C2019.07.08-14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9" scale="75" orientation="landscape" r:id="rId13"/>
  <headerFooter alignWithMargins="0">
    <oddHeader>&amp;C2019.07.08-14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Munka16"/>
  <dimension ref="A1:N141"/>
  <sheetViews>
    <sheetView zoomScale="80" zoomScaleNormal="80" zoomScaleSheetLayoutView="40" workbookViewId="0">
      <pane ySplit="1" topLeftCell="A2" activePane="bottomLeft" state="frozen"/>
      <selection pane="bottomLeft" activeCell="J24" sqref="J24"/>
    </sheetView>
  </sheetViews>
  <sheetFormatPr defaultColWidth="9.140625" defaultRowHeight="12.75" x14ac:dyDescent="0.2"/>
  <cols>
    <col min="1" max="1" width="10.7109375" style="119" customWidth="1"/>
    <col min="2" max="4" width="30.7109375" style="69" customWidth="1"/>
    <col min="5" max="5" width="27.28515625" style="69" customWidth="1"/>
    <col min="6" max="6" width="30.7109375" style="69" customWidth="1"/>
    <col min="7" max="7" width="15" style="69" customWidth="1"/>
    <col min="8" max="8" width="15.28515625" style="69" customWidth="1"/>
    <col min="9" max="9" width="9.5703125" style="69" customWidth="1"/>
    <col min="10" max="16384" width="9.140625" style="69"/>
  </cols>
  <sheetData>
    <row r="1" spans="1:9" ht="28.5" customHeight="1" thickTop="1" thickBot="1" x14ac:dyDescent="0.25">
      <c r="A1" s="64" t="s">
        <v>830</v>
      </c>
      <c r="B1" s="65" t="s">
        <v>831</v>
      </c>
      <c r="C1" s="65" t="s">
        <v>832</v>
      </c>
      <c r="D1" s="65" t="s">
        <v>833</v>
      </c>
      <c r="E1" s="65" t="s">
        <v>834</v>
      </c>
      <c r="F1" s="65" t="s">
        <v>835</v>
      </c>
      <c r="G1" s="67" t="s">
        <v>836</v>
      </c>
      <c r="H1" s="67" t="s">
        <v>837</v>
      </c>
      <c r="I1" s="68"/>
    </row>
    <row r="2" spans="1:9" ht="15" customHeight="1" x14ac:dyDescent="0.2">
      <c r="A2" s="70"/>
      <c r="B2" s="127" t="s">
        <v>838</v>
      </c>
      <c r="C2" s="122" t="s">
        <v>796</v>
      </c>
      <c r="D2" s="122"/>
      <c r="E2" s="71"/>
      <c r="F2" s="73"/>
      <c r="G2" s="74"/>
      <c r="H2" s="74"/>
      <c r="I2" s="75"/>
    </row>
    <row r="3" spans="1:9" ht="15" customHeight="1" x14ac:dyDescent="0.2">
      <c r="A3" s="76"/>
      <c r="B3" s="127" t="s">
        <v>839</v>
      </c>
      <c r="C3" s="77" t="s">
        <v>840</v>
      </c>
      <c r="D3" s="77"/>
      <c r="E3" s="77"/>
      <c r="F3" s="79"/>
      <c r="G3" s="80"/>
      <c r="H3" s="80"/>
      <c r="I3" s="75"/>
    </row>
    <row r="4" spans="1:9" ht="15" customHeight="1" x14ac:dyDescent="0.2">
      <c r="A4" s="76" t="s">
        <v>18</v>
      </c>
      <c r="B4" s="77" t="s">
        <v>840</v>
      </c>
      <c r="C4" s="77"/>
      <c r="D4" s="77"/>
      <c r="E4" s="77"/>
      <c r="F4" s="79"/>
      <c r="G4" s="80"/>
      <c r="H4" s="80"/>
    </row>
    <row r="5" spans="1:9" ht="15" customHeight="1" x14ac:dyDescent="0.2">
      <c r="A5" s="81" t="s">
        <v>19</v>
      </c>
      <c r="B5" s="77"/>
      <c r="C5" s="77"/>
      <c r="D5" s="77"/>
      <c r="E5" s="77"/>
      <c r="F5" s="79"/>
      <c r="G5" s="80"/>
      <c r="H5" s="80"/>
    </row>
    <row r="6" spans="1:9" ht="15" customHeight="1" x14ac:dyDescent="0.2">
      <c r="A6" s="82"/>
      <c r="B6" s="228" t="s">
        <v>59</v>
      </c>
      <c r="C6" s="228" t="s">
        <v>59</v>
      </c>
      <c r="D6" s="228"/>
      <c r="E6" s="83"/>
      <c r="F6" s="85"/>
      <c r="G6" s="86"/>
      <c r="H6" s="86"/>
    </row>
    <row r="7" spans="1:9" ht="15" customHeight="1" thickBot="1" x14ac:dyDescent="0.25">
      <c r="A7" s="87" t="s">
        <v>20</v>
      </c>
      <c r="B7" s="240" t="s">
        <v>841</v>
      </c>
      <c r="C7" s="240" t="s">
        <v>841</v>
      </c>
      <c r="D7" s="88"/>
      <c r="E7" s="88"/>
      <c r="F7" s="90"/>
      <c r="G7" s="91"/>
      <c r="H7" s="91"/>
      <c r="I7" s="253">
        <f>+'07.08-07.14'!I24+2</f>
        <v>3</v>
      </c>
    </row>
    <row r="8" spans="1:9" ht="15" customHeight="1" thickTop="1" x14ac:dyDescent="0.2">
      <c r="A8" s="82"/>
      <c r="B8" s="127" t="s">
        <v>262</v>
      </c>
      <c r="C8" s="127" t="s">
        <v>842</v>
      </c>
      <c r="D8" s="77" t="s">
        <v>843</v>
      </c>
      <c r="E8" s="127" t="s">
        <v>844</v>
      </c>
      <c r="F8" s="79"/>
      <c r="G8" s="80"/>
      <c r="H8" s="80"/>
    </row>
    <row r="9" spans="1:9" ht="15" customHeight="1" x14ac:dyDescent="0.2">
      <c r="A9" s="82"/>
      <c r="B9" s="127"/>
      <c r="C9" s="77"/>
      <c r="D9" s="77"/>
      <c r="E9" s="77" t="s">
        <v>840</v>
      </c>
      <c r="F9" s="79"/>
      <c r="G9" s="80"/>
      <c r="H9" s="80"/>
    </row>
    <row r="10" spans="1:9" ht="15" customHeight="1" x14ac:dyDescent="0.2">
      <c r="A10" s="92" t="s">
        <v>18</v>
      </c>
      <c r="B10" s="77"/>
      <c r="C10" s="77"/>
      <c r="D10" s="77"/>
      <c r="E10" s="127" t="s">
        <v>675</v>
      </c>
      <c r="F10" s="79"/>
      <c r="G10" s="80"/>
      <c r="H10" s="80"/>
    </row>
    <row r="11" spans="1:9" ht="15" customHeight="1" x14ac:dyDescent="0.2">
      <c r="A11" s="93" t="s">
        <v>30</v>
      </c>
      <c r="B11" s="77"/>
      <c r="C11" s="77"/>
      <c r="D11" s="77"/>
      <c r="E11" s="77"/>
      <c r="F11" s="79"/>
      <c r="G11" s="80"/>
      <c r="H11" s="80"/>
    </row>
    <row r="12" spans="1:9" ht="15" customHeight="1" x14ac:dyDescent="0.2">
      <c r="A12" s="82"/>
      <c r="B12" s="77"/>
      <c r="C12" s="77"/>
      <c r="D12" s="77"/>
      <c r="E12" s="77"/>
      <c r="F12" s="79"/>
      <c r="G12" s="80"/>
      <c r="H12" s="80"/>
    </row>
    <row r="13" spans="1:9" ht="15" customHeight="1" x14ac:dyDescent="0.2">
      <c r="A13" s="82"/>
      <c r="B13" s="83"/>
      <c r="C13" s="83"/>
      <c r="D13" s="83"/>
      <c r="E13" s="83"/>
      <c r="F13" s="85"/>
      <c r="G13" s="86"/>
      <c r="H13" s="86"/>
    </row>
    <row r="14" spans="1:9" ht="15" customHeight="1" thickBot="1" x14ac:dyDescent="0.25">
      <c r="A14" s="87" t="s">
        <v>20</v>
      </c>
      <c r="B14" s="240" t="s">
        <v>31</v>
      </c>
      <c r="C14" s="240" t="s">
        <v>31</v>
      </c>
      <c r="D14" s="240" t="s">
        <v>691</v>
      </c>
      <c r="E14" s="240" t="s">
        <v>691</v>
      </c>
      <c r="F14" s="90"/>
      <c r="G14" s="91"/>
      <c r="H14" s="91"/>
      <c r="I14" s="253">
        <f>+'07.08-07.14'!I12+4</f>
        <v>10</v>
      </c>
    </row>
    <row r="15" spans="1:9" ht="15" customHeight="1" thickTop="1" x14ac:dyDescent="0.2">
      <c r="A15" s="82"/>
      <c r="B15" s="127" t="s">
        <v>845</v>
      </c>
      <c r="C15" s="127" t="s">
        <v>846</v>
      </c>
      <c r="D15" s="127" t="s">
        <v>847</v>
      </c>
      <c r="E15" s="122" t="s">
        <v>848</v>
      </c>
      <c r="F15" s="79" t="s">
        <v>849</v>
      </c>
      <c r="G15" s="80"/>
      <c r="H15" s="80"/>
    </row>
    <row r="16" spans="1:9" ht="15" customHeight="1" x14ac:dyDescent="0.2">
      <c r="A16" s="82"/>
      <c r="B16" s="77" t="s">
        <v>850</v>
      </c>
      <c r="C16" s="77"/>
      <c r="D16" s="127" t="s">
        <v>851</v>
      </c>
      <c r="E16" s="77" t="s">
        <v>806</v>
      </c>
      <c r="F16" s="79"/>
      <c r="G16" s="80"/>
      <c r="H16" s="80"/>
    </row>
    <row r="17" spans="1:14" ht="15" customHeight="1" x14ac:dyDescent="0.2">
      <c r="A17" s="92" t="s">
        <v>593</v>
      </c>
      <c r="B17" s="77"/>
      <c r="C17" s="77"/>
      <c r="D17" s="127" t="s">
        <v>852</v>
      </c>
      <c r="E17" s="77" t="s">
        <v>840</v>
      </c>
      <c r="F17" s="79"/>
      <c r="G17" s="80"/>
      <c r="H17" s="80"/>
    </row>
    <row r="18" spans="1:14" ht="15" customHeight="1" x14ac:dyDescent="0.2">
      <c r="A18" s="93">
        <v>602</v>
      </c>
      <c r="B18" s="77"/>
      <c r="C18" s="77"/>
      <c r="D18" s="77"/>
      <c r="E18" s="77"/>
      <c r="F18" s="79"/>
      <c r="G18" s="80"/>
      <c r="H18" s="80"/>
    </row>
    <row r="19" spans="1:14" x14ac:dyDescent="0.2">
      <c r="A19" s="82"/>
      <c r="B19" s="83"/>
      <c r="C19" s="83"/>
      <c r="D19" s="83"/>
      <c r="E19" s="83"/>
      <c r="F19" s="85"/>
      <c r="G19" s="86"/>
      <c r="H19" s="86"/>
    </row>
    <row r="20" spans="1:14" ht="13.5" thickBot="1" x14ac:dyDescent="0.25">
      <c r="A20" s="87" t="s">
        <v>20</v>
      </c>
      <c r="B20" s="266" t="s">
        <v>138</v>
      </c>
      <c r="C20" s="266" t="s">
        <v>138</v>
      </c>
      <c r="D20" s="266" t="s">
        <v>138</v>
      </c>
      <c r="E20" s="268" t="s">
        <v>138</v>
      </c>
      <c r="F20" s="266" t="s">
        <v>276</v>
      </c>
      <c r="G20" s="91"/>
      <c r="H20" s="91"/>
    </row>
    <row r="21" spans="1:14" ht="13.5" thickTop="1" x14ac:dyDescent="0.2">
      <c r="A21" s="82"/>
      <c r="B21" s="127"/>
      <c r="C21" s="77"/>
      <c r="D21" s="154" t="s">
        <v>853</v>
      </c>
      <c r="E21" s="71"/>
      <c r="F21" s="137"/>
      <c r="G21" s="80"/>
      <c r="H21" s="80"/>
    </row>
    <row r="22" spans="1:14" x14ac:dyDescent="0.2">
      <c r="A22" s="82"/>
      <c r="B22" s="77"/>
      <c r="C22" s="77"/>
      <c r="D22" s="154"/>
      <c r="E22" s="127"/>
      <c r="F22" s="168"/>
      <c r="G22" s="80"/>
      <c r="H22" s="80"/>
    </row>
    <row r="23" spans="1:14" x14ac:dyDescent="0.2">
      <c r="A23" s="92" t="s">
        <v>593</v>
      </c>
      <c r="B23" s="77"/>
      <c r="C23" s="77"/>
      <c r="D23" s="154"/>
      <c r="E23" s="77"/>
      <c r="F23" s="168"/>
      <c r="G23" s="80"/>
      <c r="H23" s="80"/>
    </row>
    <row r="24" spans="1:14" x14ac:dyDescent="0.2">
      <c r="A24" s="93">
        <v>601</v>
      </c>
      <c r="B24" s="77"/>
      <c r="C24" s="77"/>
      <c r="D24" s="154"/>
      <c r="E24" s="77"/>
      <c r="F24" s="256"/>
      <c r="G24" s="80"/>
      <c r="H24" s="80"/>
    </row>
    <row r="25" spans="1:14" x14ac:dyDescent="0.2">
      <c r="A25" s="82"/>
      <c r="B25" s="77"/>
      <c r="C25" s="77"/>
      <c r="D25" s="154"/>
      <c r="E25" s="77"/>
      <c r="F25" s="168"/>
      <c r="G25" s="80"/>
      <c r="H25" s="80"/>
    </row>
    <row r="26" spans="1:14" x14ac:dyDescent="0.2">
      <c r="A26" s="82"/>
      <c r="B26" s="83"/>
      <c r="C26" s="83"/>
      <c r="D26" s="155"/>
      <c r="E26" s="83"/>
      <c r="F26" s="169"/>
      <c r="G26" s="86"/>
      <c r="H26" s="86"/>
    </row>
    <row r="27" spans="1:14" ht="13.5" thickBot="1" x14ac:dyDescent="0.25">
      <c r="A27" s="87" t="s">
        <v>20</v>
      </c>
      <c r="B27" s="88"/>
      <c r="C27" s="88"/>
      <c r="D27" s="267" t="s">
        <v>622</v>
      </c>
      <c r="E27" s="158"/>
      <c r="F27" s="140"/>
      <c r="G27" s="91"/>
      <c r="H27" s="91"/>
      <c r="N27" s="118"/>
    </row>
    <row r="28" spans="1:14" ht="13.5" thickTop="1" x14ac:dyDescent="0.2">
      <c r="A28" s="76"/>
      <c r="B28" s="77" t="s">
        <v>854</v>
      </c>
      <c r="C28" s="77" t="s">
        <v>855</v>
      </c>
      <c r="D28" s="77" t="s">
        <v>856</v>
      </c>
      <c r="E28" s="77" t="s">
        <v>857</v>
      </c>
      <c r="F28" s="79" t="s">
        <v>858</v>
      </c>
      <c r="G28" s="80"/>
      <c r="H28" s="80"/>
    </row>
    <row r="29" spans="1:14" x14ac:dyDescent="0.2">
      <c r="A29" s="82"/>
      <c r="B29" s="77" t="s">
        <v>859</v>
      </c>
      <c r="C29" s="77" t="s">
        <v>860</v>
      </c>
      <c r="D29" s="77" t="s">
        <v>861</v>
      </c>
      <c r="E29" s="77" t="s">
        <v>862</v>
      </c>
      <c r="F29" s="77" t="s">
        <v>863</v>
      </c>
      <c r="G29" s="80"/>
      <c r="H29" s="80"/>
      <c r="N29" s="118"/>
    </row>
    <row r="30" spans="1:14" x14ac:dyDescent="0.2">
      <c r="A30" s="92"/>
      <c r="B30" s="77"/>
      <c r="C30" s="69" t="s">
        <v>864</v>
      </c>
      <c r="D30" s="77" t="s">
        <v>865</v>
      </c>
      <c r="E30" s="77"/>
      <c r="F30" s="79" t="s">
        <v>642</v>
      </c>
      <c r="G30" s="80"/>
      <c r="H30" s="80"/>
    </row>
    <row r="31" spans="1:14" x14ac:dyDescent="0.2">
      <c r="A31" s="93"/>
      <c r="B31" s="77"/>
      <c r="C31" s="77"/>
      <c r="D31" s="77" t="s">
        <v>866</v>
      </c>
      <c r="E31" s="77"/>
      <c r="F31" s="79" t="s">
        <v>867</v>
      </c>
      <c r="G31" s="80"/>
      <c r="H31" s="80"/>
    </row>
    <row r="32" spans="1:14" x14ac:dyDescent="0.2">
      <c r="A32" s="92"/>
      <c r="B32" s="77"/>
      <c r="C32" s="77"/>
      <c r="D32" s="77"/>
      <c r="E32" s="77"/>
      <c r="F32" s="79" t="s">
        <v>868</v>
      </c>
      <c r="G32" s="80"/>
      <c r="H32" s="80"/>
    </row>
    <row r="33" spans="1:8" x14ac:dyDescent="0.2">
      <c r="A33" s="92"/>
      <c r="B33" s="77"/>
      <c r="C33" s="77"/>
      <c r="D33" s="77"/>
      <c r="E33" s="77"/>
      <c r="F33" s="79" t="s">
        <v>869</v>
      </c>
      <c r="G33" s="80"/>
      <c r="H33" s="80"/>
    </row>
    <row r="34" spans="1:8" ht="15" customHeight="1" x14ac:dyDescent="0.2">
      <c r="A34" s="92"/>
      <c r="B34" s="94"/>
      <c r="C34" s="94"/>
      <c r="D34" s="94"/>
      <c r="E34" s="94"/>
      <c r="F34" s="96" t="s">
        <v>870</v>
      </c>
      <c r="G34" s="97"/>
      <c r="H34" s="97"/>
    </row>
    <row r="35" spans="1:8" ht="13.5" thickBot="1" x14ac:dyDescent="0.25">
      <c r="A35" s="87" t="s">
        <v>20</v>
      </c>
      <c r="B35" s="88"/>
      <c r="C35" s="88"/>
      <c r="D35" s="77"/>
      <c r="E35" s="88"/>
      <c r="F35" s="261"/>
      <c r="G35" s="91"/>
      <c r="H35" s="91"/>
    </row>
    <row r="36" spans="1:8" ht="13.5" thickTop="1" x14ac:dyDescent="0.2">
      <c r="A36" s="76"/>
      <c r="B36" s="127" t="s">
        <v>871</v>
      </c>
      <c r="C36" s="154" t="s">
        <v>824</v>
      </c>
      <c r="D36" s="71" t="s">
        <v>824</v>
      </c>
      <c r="E36" s="138" t="s">
        <v>824</v>
      </c>
      <c r="F36" s="127" t="s">
        <v>871</v>
      </c>
      <c r="G36" s="80"/>
      <c r="H36" s="80"/>
    </row>
    <row r="37" spans="1:8" x14ac:dyDescent="0.2">
      <c r="A37" s="92" t="s">
        <v>41</v>
      </c>
      <c r="B37" s="99"/>
      <c r="C37" s="154" t="s">
        <v>872</v>
      </c>
      <c r="D37" s="77" t="s">
        <v>872</v>
      </c>
      <c r="E37" s="138" t="s">
        <v>872</v>
      </c>
      <c r="F37" s="79"/>
      <c r="G37" s="80"/>
      <c r="H37" s="80"/>
    </row>
    <row r="38" spans="1:8" x14ac:dyDescent="0.2">
      <c r="A38" s="93" t="s">
        <v>43</v>
      </c>
      <c r="B38" s="77"/>
      <c r="C38" s="154"/>
      <c r="D38" s="127" t="s">
        <v>873</v>
      </c>
      <c r="E38" s="138"/>
      <c r="F38" s="79"/>
      <c r="G38" s="80"/>
      <c r="H38" s="80"/>
    </row>
    <row r="39" spans="1:8" x14ac:dyDescent="0.2">
      <c r="A39" s="93"/>
      <c r="B39" s="77"/>
      <c r="C39" s="154"/>
      <c r="D39" s="77"/>
      <c r="E39" s="138"/>
      <c r="F39" s="79"/>
      <c r="G39" s="80"/>
      <c r="H39" s="80"/>
    </row>
    <row r="40" spans="1:8" x14ac:dyDescent="0.2">
      <c r="A40" s="92"/>
      <c r="B40" s="83"/>
      <c r="C40" s="155"/>
      <c r="D40" s="83"/>
      <c r="E40" s="139"/>
      <c r="F40" s="85"/>
      <c r="G40" s="86"/>
      <c r="H40" s="86"/>
    </row>
    <row r="41" spans="1:8" ht="13.5" thickBot="1" x14ac:dyDescent="0.25">
      <c r="A41" s="87" t="s">
        <v>20</v>
      </c>
      <c r="B41" s="266" t="s">
        <v>874</v>
      </c>
      <c r="C41" s="267" t="s">
        <v>874</v>
      </c>
      <c r="D41" s="268" t="s">
        <v>874</v>
      </c>
      <c r="E41" s="269" t="s">
        <v>727</v>
      </c>
      <c r="F41" s="270" t="s">
        <v>727</v>
      </c>
      <c r="G41" s="91"/>
      <c r="H41" s="91"/>
    </row>
    <row r="42" spans="1:8" ht="13.5" thickTop="1" x14ac:dyDescent="0.2">
      <c r="A42" s="92" t="s">
        <v>279</v>
      </c>
      <c r="B42" s="100"/>
      <c r="C42" s="100"/>
      <c r="D42" s="254"/>
      <c r="E42" s="71" t="s">
        <v>853</v>
      </c>
      <c r="F42" s="71" t="s">
        <v>853</v>
      </c>
      <c r="G42" s="255"/>
      <c r="H42" s="103"/>
    </row>
    <row r="43" spans="1:8" x14ac:dyDescent="0.2">
      <c r="A43" s="93" t="s">
        <v>67</v>
      </c>
      <c r="B43" s="100"/>
      <c r="C43" s="100"/>
      <c r="D43" s="254"/>
      <c r="E43" s="127" t="s">
        <v>875</v>
      </c>
      <c r="F43" s="127" t="s">
        <v>875</v>
      </c>
      <c r="G43" s="255"/>
      <c r="H43" s="103"/>
    </row>
    <row r="44" spans="1:8" x14ac:dyDescent="0.2">
      <c r="A44" s="93"/>
      <c r="B44" s="104"/>
      <c r="C44" s="104"/>
      <c r="D44" s="257"/>
      <c r="E44" s="104"/>
      <c r="F44" s="106"/>
      <c r="G44" s="259"/>
      <c r="H44" s="107"/>
    </row>
    <row r="45" spans="1:8" ht="13.5" thickBot="1" x14ac:dyDescent="0.25">
      <c r="A45" s="87" t="s">
        <v>20</v>
      </c>
      <c r="B45" s="108"/>
      <c r="C45" s="108"/>
      <c r="D45" s="258"/>
      <c r="E45" s="268" t="s">
        <v>876</v>
      </c>
      <c r="F45" s="268" t="s">
        <v>876</v>
      </c>
      <c r="G45" s="260"/>
      <c r="H45" s="111"/>
    </row>
    <row r="46" spans="1:8" ht="13.5" thickTop="1" x14ac:dyDescent="0.2">
      <c r="A46" s="112" t="s">
        <v>280</v>
      </c>
      <c r="B46" s="113" t="s">
        <v>877</v>
      </c>
      <c r="C46" s="113" t="s">
        <v>69</v>
      </c>
      <c r="D46" s="113" t="s">
        <v>69</v>
      </c>
      <c r="E46" s="113" t="s">
        <v>69</v>
      </c>
      <c r="F46" s="113" t="s">
        <v>878</v>
      </c>
      <c r="G46" s="113"/>
      <c r="H46" s="113"/>
    </row>
    <row r="47" spans="1:8" x14ac:dyDescent="0.2">
      <c r="A47" s="114" t="s">
        <v>282</v>
      </c>
      <c r="B47" s="113"/>
      <c r="C47" s="113"/>
      <c r="D47" s="113"/>
      <c r="E47" s="113"/>
      <c r="F47" s="113"/>
      <c r="G47" s="113"/>
      <c r="H47" s="113"/>
    </row>
    <row r="48" spans="1:8" x14ac:dyDescent="0.2">
      <c r="A48" s="163" t="s">
        <v>394</v>
      </c>
      <c r="B48" s="164"/>
      <c r="C48" s="164"/>
      <c r="D48" s="164"/>
      <c r="E48" s="164"/>
      <c r="F48" s="164"/>
      <c r="G48" s="113"/>
      <c r="H48" s="113"/>
    </row>
    <row r="49" spans="1:9" x14ac:dyDescent="0.2">
      <c r="A49" s="115"/>
      <c r="B49" s="113"/>
      <c r="C49" s="113"/>
      <c r="D49" s="113"/>
      <c r="E49" s="113"/>
      <c r="F49" s="113"/>
      <c r="G49" s="113"/>
      <c r="H49" s="113"/>
    </row>
    <row r="50" spans="1:9" ht="13.5" thickBot="1" x14ac:dyDescent="0.25">
      <c r="A50" s="248" t="s">
        <v>75</v>
      </c>
      <c r="B50" s="249" t="s">
        <v>76</v>
      </c>
      <c r="C50" s="113"/>
      <c r="D50" s="113"/>
      <c r="E50" s="113"/>
      <c r="F50" s="113"/>
      <c r="G50" s="113"/>
      <c r="H50" s="285" t="s">
        <v>463</v>
      </c>
      <c r="I50" s="286">
        <f>SUM(I4:I49)</f>
        <v>13</v>
      </c>
    </row>
    <row r="51" spans="1:9" ht="13.5" thickTop="1" x14ac:dyDescent="0.2">
      <c r="A51" s="115"/>
      <c r="B51" s="116"/>
      <c r="C51" s="116"/>
      <c r="D51" s="116"/>
      <c r="E51" s="116"/>
      <c r="F51" s="116"/>
      <c r="G51" s="116"/>
      <c r="H51" s="116"/>
    </row>
    <row r="52" spans="1:9" x14ac:dyDescent="0.2">
      <c r="A52" s="117"/>
      <c r="B52" s="116"/>
      <c r="C52" s="116"/>
      <c r="D52" s="116"/>
      <c r="E52" s="116"/>
      <c r="F52" s="116"/>
      <c r="G52" s="116"/>
      <c r="H52" s="116"/>
    </row>
    <row r="53" spans="1:9" x14ac:dyDescent="0.2">
      <c r="A53" s="117"/>
      <c r="B53" s="116"/>
      <c r="C53" s="116"/>
      <c r="D53" s="116"/>
      <c r="E53" s="116"/>
      <c r="F53" s="116"/>
      <c r="G53" s="116"/>
      <c r="H53" s="116"/>
    </row>
    <row r="54" spans="1:9" x14ac:dyDescent="0.2">
      <c r="A54" s="115"/>
      <c r="B54" s="118"/>
      <c r="C54" s="118"/>
      <c r="D54" s="118"/>
      <c r="E54" s="118"/>
      <c r="F54" s="118"/>
      <c r="G54" s="118"/>
      <c r="H54" s="118"/>
    </row>
    <row r="55" spans="1:9" x14ac:dyDescent="0.2">
      <c r="A55" s="115"/>
      <c r="B55" s="118"/>
      <c r="C55" s="118"/>
      <c r="D55" s="118"/>
      <c r="E55" s="118"/>
      <c r="F55" s="118"/>
      <c r="G55" s="118"/>
      <c r="H55" s="118"/>
    </row>
    <row r="56" spans="1:9" x14ac:dyDescent="0.2">
      <c r="A56" s="115"/>
      <c r="B56" s="118"/>
      <c r="C56" s="118"/>
      <c r="D56" s="118"/>
      <c r="E56" s="118"/>
      <c r="F56" s="118"/>
      <c r="G56" s="118"/>
      <c r="H56" s="118"/>
    </row>
    <row r="57" spans="1:9" x14ac:dyDescent="0.2">
      <c r="A57" s="115"/>
      <c r="B57" s="118"/>
      <c r="C57" s="118"/>
      <c r="D57" s="118"/>
      <c r="E57" s="118"/>
      <c r="F57" s="118"/>
      <c r="G57" s="118"/>
      <c r="H57" s="118"/>
    </row>
    <row r="58" spans="1:9" x14ac:dyDescent="0.2">
      <c r="A58" s="115"/>
      <c r="B58" s="118"/>
      <c r="C58" s="118"/>
      <c r="D58" s="118"/>
      <c r="E58" s="118"/>
      <c r="F58" s="118"/>
      <c r="G58" s="118"/>
      <c r="H58" s="118"/>
    </row>
    <row r="59" spans="1:9" x14ac:dyDescent="0.2">
      <c r="A59" s="115"/>
      <c r="B59" s="118"/>
      <c r="C59" s="118"/>
      <c r="D59" s="118"/>
      <c r="E59" s="118"/>
      <c r="F59" s="118"/>
      <c r="G59" s="118"/>
      <c r="H59" s="118"/>
    </row>
    <row r="60" spans="1:9" x14ac:dyDescent="0.2">
      <c r="A60" s="115"/>
      <c r="B60" s="118"/>
      <c r="C60" s="118"/>
      <c r="D60" s="118"/>
      <c r="E60" s="118"/>
      <c r="F60" s="118"/>
      <c r="G60" s="118"/>
      <c r="H60" s="118"/>
    </row>
    <row r="61" spans="1:9" x14ac:dyDescent="0.2">
      <c r="A61" s="117"/>
      <c r="B61" s="118"/>
      <c r="C61" s="118"/>
      <c r="D61" s="118"/>
      <c r="E61" s="118"/>
      <c r="F61" s="118"/>
      <c r="G61" s="118"/>
      <c r="H61" s="118"/>
    </row>
    <row r="62" spans="1:9" x14ac:dyDescent="0.2">
      <c r="A62" s="117"/>
      <c r="B62" s="118"/>
      <c r="C62" s="118"/>
      <c r="D62" s="118"/>
      <c r="E62" s="118"/>
      <c r="F62" s="118"/>
      <c r="G62" s="118"/>
      <c r="H62" s="118"/>
    </row>
    <row r="63" spans="1:9" x14ac:dyDescent="0.2">
      <c r="A63" s="115"/>
      <c r="B63" s="118"/>
      <c r="C63" s="118"/>
      <c r="D63" s="118"/>
      <c r="E63" s="118"/>
      <c r="F63" s="118"/>
      <c r="G63" s="118"/>
      <c r="H63" s="118"/>
    </row>
    <row r="64" spans="1:9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  <row r="141" spans="1:8" x14ac:dyDescent="0.2">
      <c r="A141" s="115"/>
      <c r="B141" s="118"/>
      <c r="C141" s="118"/>
      <c r="D141" s="118"/>
      <c r="E141" s="118"/>
      <c r="F141" s="118"/>
      <c r="G141" s="118"/>
      <c r="H141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"/>
      <headerFooter alignWithMargins="0">
        <oddHeader>&amp;C2019.07.15-21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M28" sqref="M28"/>
      <pageMargins left="0" right="0" top="0" bottom="0" header="0" footer="0"/>
      <printOptions gridLines="1"/>
      <pageSetup paperSize="8" scale="95" orientation="landscape" r:id="rId2"/>
      <headerFooter alignWithMargins="0">
        <oddHeader>&amp;C2019.07.15-21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I7" sqref="I7"/>
      <pageMargins left="0" right="0" top="0" bottom="0" header="0" footer="0"/>
      <printOptions gridLines="1"/>
      <pageSetup paperSize="8" scale="95" orientation="landscape" r:id="rId3"/>
      <headerFooter alignWithMargins="0">
        <oddHeader>&amp;C2019.07.15-21</oddHeader>
      </headerFooter>
    </customSheetView>
    <customSheetView guid="{4B58F0A9-071E-4376-B7AD-463366669E19}" scale="80">
      <pane ySplit="1" topLeftCell="A11" activePane="bottomLeft" state="frozen"/>
      <selection pane="bottomLeft" activeCell="B9" sqref="B9"/>
      <pageMargins left="0" right="0" top="0" bottom="0" header="0" footer="0"/>
      <printOptions gridLines="1"/>
      <pageSetup paperSize="9" scale="75" orientation="landscape" r:id="rId4"/>
      <headerFooter alignWithMargins="0">
        <oddHeader>&amp;C2019.07.15-21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&amp;C2019.07.15-21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D32" sqref="D32"/>
      <pageMargins left="0" right="0" top="0" bottom="0" header="0" footer="0"/>
      <printOptions gridLines="1"/>
      <pageSetup paperSize="8" scale="95" orientation="landscape" r:id="rId6"/>
      <headerFooter alignWithMargins="0">
        <oddHeader>&amp;C2019.07.15-21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J24" sqref="J24"/>
      <pageMargins left="0" right="0" top="0" bottom="0" header="0" footer="0"/>
      <printOptions gridLines="1"/>
      <pageSetup paperSize="9" scale="75" orientation="landscape" r:id="rId7"/>
      <headerFooter alignWithMargins="0">
        <oddHeader>&amp;C2019.07.15-21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A15" sqref="A15:XFD20"/>
      <pageMargins left="0" right="0" top="0" bottom="0" header="0" footer="0"/>
      <printOptions gridLines="1"/>
      <pageSetup paperSize="8" scale="95" orientation="landscape" r:id="rId8"/>
      <headerFooter alignWithMargins="0">
        <oddHeader>&amp;C2019.07.15-21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J24" sqref="J24"/>
      <pageMargins left="0" right="0" top="0" bottom="0" header="0" footer="0"/>
      <printOptions gridLines="1"/>
      <pageSetup paperSize="9" scale="75" orientation="landscape" r:id="rId9"/>
      <headerFooter alignWithMargins="0">
        <oddHeader>&amp;C2019.07.15-21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G18" sqref="G18"/>
      <pageMargins left="0" right="0" top="0" bottom="0" header="0" footer="0"/>
      <printOptions gridLines="1"/>
      <pageSetup paperSize="8" scale="95" orientation="landscape" r:id="rId10"/>
      <headerFooter alignWithMargins="0">
        <oddHeader>&amp;C2019.07.15-21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E50" sqref="E50"/>
      <pageMargins left="0" right="0" top="0" bottom="0" header="0" footer="0"/>
      <printOptions gridLines="1"/>
      <pageSetup paperSize="8" scale="95" orientation="landscape" r:id="rId11"/>
      <headerFooter alignWithMargins="0">
        <oddHeader>&amp;C2019.07.15-21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J24" sqref="J24"/>
      <pageMargins left="0" right="0" top="0" bottom="0" header="0" footer="0"/>
      <printOptions gridLines="1"/>
      <pageSetup paperSize="9" scale="75" orientation="landscape" r:id="rId12"/>
      <headerFooter alignWithMargins="0">
        <oddHeader>&amp;C2019.07.15-21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9" scale="75" orientation="landscape" r:id="rId13"/>
  <headerFooter alignWithMargins="0">
    <oddHeader>&amp;C2019.07.15-21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Munka17"/>
  <dimension ref="A1:I140"/>
  <sheetViews>
    <sheetView zoomScale="80" zoomScaleNormal="80" zoomScaleSheetLayoutView="40" workbookViewId="0">
      <pane ySplit="1" topLeftCell="A5" activePane="bottomLeft" state="frozen"/>
      <selection pane="bottomLeft" activeCell="I25" sqref="I25"/>
    </sheetView>
  </sheetViews>
  <sheetFormatPr defaultColWidth="9.140625" defaultRowHeight="12.75" x14ac:dyDescent="0.2"/>
  <cols>
    <col min="1" max="1" width="10.7109375" style="119" customWidth="1"/>
    <col min="2" max="4" width="30.7109375" style="69" customWidth="1"/>
    <col min="5" max="5" width="28" style="69" customWidth="1"/>
    <col min="6" max="6" width="29.7109375" style="69" customWidth="1"/>
    <col min="7" max="7" width="14.5703125" style="69" customWidth="1"/>
    <col min="8" max="8" width="16" style="69" customWidth="1"/>
    <col min="9" max="9" width="7" style="69" customWidth="1"/>
    <col min="10" max="16384" width="9.140625" style="69"/>
  </cols>
  <sheetData>
    <row r="1" spans="1:9" ht="28.5" customHeight="1" thickTop="1" thickBot="1" x14ac:dyDescent="0.25">
      <c r="A1" s="64" t="s">
        <v>879</v>
      </c>
      <c r="B1" s="65" t="s">
        <v>880</v>
      </c>
      <c r="C1" s="65" t="s">
        <v>881</v>
      </c>
      <c r="D1" s="65" t="s">
        <v>882</v>
      </c>
      <c r="E1" s="65" t="s">
        <v>883</v>
      </c>
      <c r="F1" s="65" t="s">
        <v>884</v>
      </c>
      <c r="G1" s="67" t="s">
        <v>885</v>
      </c>
      <c r="H1" s="67" t="s">
        <v>886</v>
      </c>
      <c r="I1" s="68"/>
    </row>
    <row r="2" spans="1:9" ht="15" customHeight="1" x14ac:dyDescent="0.2">
      <c r="A2" s="70"/>
      <c r="B2" s="71"/>
      <c r="C2" s="122" t="s">
        <v>887</v>
      </c>
      <c r="D2" s="71"/>
      <c r="E2" s="71"/>
      <c r="F2" s="73" t="s">
        <v>888</v>
      </c>
      <c r="G2" s="74"/>
      <c r="H2" s="74"/>
      <c r="I2" s="75"/>
    </row>
    <row r="3" spans="1:9" ht="15" customHeight="1" x14ac:dyDescent="0.2">
      <c r="A3" s="76"/>
      <c r="B3" s="127" t="s">
        <v>889</v>
      </c>
      <c r="C3" s="77"/>
      <c r="D3" s="77"/>
      <c r="E3" s="77"/>
      <c r="F3" s="79" t="s">
        <v>890</v>
      </c>
      <c r="G3" s="80"/>
      <c r="H3" s="80"/>
      <c r="I3" s="75"/>
    </row>
    <row r="4" spans="1:9" ht="15" customHeight="1" x14ac:dyDescent="0.2">
      <c r="A4" s="76" t="s">
        <v>18</v>
      </c>
      <c r="B4" s="77"/>
      <c r="C4" s="77"/>
      <c r="D4" s="77"/>
      <c r="E4" s="77"/>
      <c r="F4" s="79"/>
      <c r="G4" s="80"/>
      <c r="H4" s="80"/>
    </row>
    <row r="5" spans="1:9" ht="15" customHeight="1" x14ac:dyDescent="0.2">
      <c r="A5" s="81" t="s">
        <v>19</v>
      </c>
      <c r="B5" s="77"/>
      <c r="C5" s="77"/>
      <c r="D5" s="77"/>
      <c r="E5" s="77"/>
      <c r="F5" s="79"/>
      <c r="G5" s="80"/>
      <c r="H5" s="80"/>
    </row>
    <row r="6" spans="1:9" ht="15" customHeight="1" x14ac:dyDescent="0.2">
      <c r="A6" s="82"/>
      <c r="B6" s="83"/>
      <c r="C6" s="83"/>
      <c r="D6" s="83"/>
      <c r="E6" s="83"/>
      <c r="F6" s="85"/>
      <c r="G6" s="86"/>
      <c r="H6" s="86"/>
    </row>
    <row r="7" spans="1:9" ht="15" customHeight="1" thickBot="1" x14ac:dyDescent="0.25">
      <c r="A7" s="87" t="s">
        <v>20</v>
      </c>
      <c r="B7" s="88" t="s">
        <v>46</v>
      </c>
      <c r="C7" s="88" t="s">
        <v>46</v>
      </c>
      <c r="D7" s="88"/>
      <c r="E7" s="88"/>
      <c r="F7" s="266" t="s">
        <v>891</v>
      </c>
      <c r="G7" s="91"/>
      <c r="H7" s="91"/>
    </row>
    <row r="8" spans="1:9" ht="15" customHeight="1" thickTop="1" x14ac:dyDescent="0.2">
      <c r="A8" s="82"/>
      <c r="B8" s="79" t="s">
        <v>892</v>
      </c>
      <c r="C8" s="127" t="s">
        <v>262</v>
      </c>
      <c r="D8" s="127" t="s">
        <v>893</v>
      </c>
      <c r="E8" s="127" t="s">
        <v>894</v>
      </c>
      <c r="F8" s="79"/>
      <c r="G8" s="80"/>
      <c r="H8" s="80"/>
    </row>
    <row r="9" spans="1:9" ht="15" customHeight="1" x14ac:dyDescent="0.2">
      <c r="A9" s="82"/>
      <c r="B9" s="77"/>
      <c r="C9" s="79" t="s">
        <v>892</v>
      </c>
      <c r="D9" s="127" t="s">
        <v>895</v>
      </c>
      <c r="E9" s="127" t="s">
        <v>896</v>
      </c>
      <c r="F9" s="129"/>
      <c r="G9" s="80"/>
      <c r="H9" s="80"/>
    </row>
    <row r="10" spans="1:9" ht="15" customHeight="1" x14ac:dyDescent="0.2">
      <c r="A10" s="92" t="s">
        <v>18</v>
      </c>
      <c r="B10" s="77"/>
      <c r="C10" s="77"/>
      <c r="D10" s="77"/>
      <c r="E10" s="77"/>
      <c r="F10" s="79"/>
      <c r="G10" s="80"/>
      <c r="H10" s="80"/>
    </row>
    <row r="11" spans="1:9" ht="15" customHeight="1" x14ac:dyDescent="0.2">
      <c r="A11" s="93" t="s">
        <v>30</v>
      </c>
      <c r="B11" s="77"/>
      <c r="C11" s="77"/>
      <c r="D11" s="77"/>
      <c r="E11" s="77"/>
      <c r="F11" s="79"/>
      <c r="G11" s="80"/>
      <c r="H11" s="80"/>
    </row>
    <row r="12" spans="1:9" ht="15" customHeight="1" x14ac:dyDescent="0.2">
      <c r="A12" s="82"/>
      <c r="B12" s="77"/>
      <c r="C12" s="77"/>
      <c r="D12" s="77"/>
      <c r="E12" s="77"/>
      <c r="F12" s="79"/>
      <c r="G12" s="80"/>
      <c r="H12" s="80"/>
    </row>
    <row r="13" spans="1:9" ht="15" customHeight="1" x14ac:dyDescent="0.2">
      <c r="A13" s="82"/>
      <c r="B13" s="83"/>
      <c r="C13" s="83"/>
      <c r="D13" s="83"/>
      <c r="E13" s="83"/>
      <c r="F13" s="85"/>
      <c r="G13" s="86"/>
      <c r="H13" s="86"/>
    </row>
    <row r="14" spans="1:9" ht="15" customHeight="1" thickBot="1" x14ac:dyDescent="0.25">
      <c r="A14" s="87" t="s">
        <v>20</v>
      </c>
      <c r="B14" s="240" t="s">
        <v>183</v>
      </c>
      <c r="C14" s="240" t="s">
        <v>183</v>
      </c>
      <c r="D14" s="240" t="s">
        <v>183</v>
      </c>
      <c r="E14" s="240" t="s">
        <v>183</v>
      </c>
      <c r="F14" s="88"/>
      <c r="G14" s="91"/>
      <c r="H14" s="91"/>
      <c r="I14" s="277">
        <f>+'07.15-07.21'!I14+4</f>
        <v>14</v>
      </c>
    </row>
    <row r="15" spans="1:9" ht="15" customHeight="1" thickTop="1" x14ac:dyDescent="0.2">
      <c r="A15" s="82"/>
      <c r="B15" s="77" t="s">
        <v>795</v>
      </c>
      <c r="C15" s="127" t="s">
        <v>897</v>
      </c>
      <c r="D15" s="127" t="s">
        <v>898</v>
      </c>
      <c r="E15" s="129" t="s">
        <v>899</v>
      </c>
      <c r="F15" s="129" t="s">
        <v>900</v>
      </c>
      <c r="G15" s="80"/>
      <c r="H15" s="80"/>
    </row>
    <row r="16" spans="1:9" ht="15" customHeight="1" x14ac:dyDescent="0.2">
      <c r="A16" s="82"/>
      <c r="B16" s="77" t="s">
        <v>798</v>
      </c>
      <c r="C16" s="127" t="s">
        <v>901</v>
      </c>
      <c r="D16" s="77" t="s">
        <v>902</v>
      </c>
      <c r="E16" s="127" t="s">
        <v>903</v>
      </c>
      <c r="F16" s="129"/>
      <c r="G16" s="80"/>
      <c r="H16" s="80"/>
    </row>
    <row r="17" spans="1:9" ht="15" customHeight="1" x14ac:dyDescent="0.2">
      <c r="A17" s="92" t="s">
        <v>593</v>
      </c>
      <c r="B17" s="77" t="s">
        <v>904</v>
      </c>
      <c r="C17" s="77"/>
      <c r="D17" s="77"/>
      <c r="E17" s="77" t="s">
        <v>905</v>
      </c>
      <c r="F17" s="79"/>
      <c r="G17" s="80"/>
      <c r="H17" s="80"/>
    </row>
    <row r="18" spans="1:9" ht="15" customHeight="1" x14ac:dyDescent="0.2">
      <c r="A18" s="93">
        <v>602</v>
      </c>
      <c r="B18" s="77"/>
      <c r="C18" s="77"/>
      <c r="D18" s="77"/>
      <c r="E18" s="77"/>
      <c r="F18" s="79"/>
      <c r="G18" s="80"/>
      <c r="H18" s="80"/>
    </row>
    <row r="19" spans="1:9" x14ac:dyDescent="0.2">
      <c r="A19" s="82"/>
      <c r="B19" s="83"/>
      <c r="C19" s="83"/>
      <c r="D19" s="83"/>
      <c r="E19" s="83"/>
      <c r="F19" s="85"/>
      <c r="G19" s="86"/>
      <c r="H19" s="86"/>
    </row>
    <row r="20" spans="1:9" ht="13.5" thickBot="1" x14ac:dyDescent="0.25">
      <c r="A20" s="87" t="s">
        <v>20</v>
      </c>
      <c r="B20" s="266" t="s">
        <v>906</v>
      </c>
      <c r="C20" s="266" t="s">
        <v>810</v>
      </c>
      <c r="D20" s="266" t="s">
        <v>138</v>
      </c>
      <c r="E20" s="266" t="s">
        <v>810</v>
      </c>
      <c r="F20" s="266" t="s">
        <v>138</v>
      </c>
      <c r="G20" s="91"/>
      <c r="H20" s="91"/>
    </row>
    <row r="21" spans="1:9" ht="13.5" thickTop="1" x14ac:dyDescent="0.2">
      <c r="A21" s="82"/>
      <c r="B21" s="127" t="s">
        <v>796</v>
      </c>
      <c r="C21" s="77" t="s">
        <v>907</v>
      </c>
      <c r="D21" s="127" t="s">
        <v>796</v>
      </c>
      <c r="E21" s="129" t="s">
        <v>908</v>
      </c>
      <c r="F21" s="129"/>
      <c r="G21" s="80"/>
      <c r="H21" s="80"/>
    </row>
    <row r="22" spans="1:9" x14ac:dyDescent="0.2">
      <c r="A22" s="82"/>
      <c r="B22" s="77"/>
      <c r="C22" s="77" t="s">
        <v>178</v>
      </c>
      <c r="D22" s="127" t="s">
        <v>909</v>
      </c>
      <c r="E22" s="77"/>
      <c r="F22" s="129"/>
      <c r="G22" s="80"/>
      <c r="H22" s="80"/>
    </row>
    <row r="23" spans="1:9" x14ac:dyDescent="0.2">
      <c r="A23" s="92" t="s">
        <v>593</v>
      </c>
      <c r="B23" s="77"/>
      <c r="C23" s="77" t="s">
        <v>910</v>
      </c>
      <c r="D23" s="127" t="s">
        <v>807</v>
      </c>
      <c r="E23" s="77"/>
      <c r="F23" s="79"/>
      <c r="G23" s="80"/>
      <c r="H23" s="80"/>
    </row>
    <row r="24" spans="1:9" x14ac:dyDescent="0.2">
      <c r="A24" s="93">
        <v>601</v>
      </c>
      <c r="B24" s="77"/>
      <c r="C24" s="77"/>
      <c r="D24" s="77"/>
      <c r="E24" s="77"/>
      <c r="F24" s="79"/>
      <c r="G24" s="80"/>
      <c r="H24" s="80"/>
    </row>
    <row r="25" spans="1:9" x14ac:dyDescent="0.2">
      <c r="A25" s="82"/>
      <c r="B25" s="77"/>
      <c r="C25" s="77"/>
      <c r="D25" s="77"/>
      <c r="E25" s="77"/>
      <c r="F25" s="79"/>
      <c r="G25" s="80"/>
      <c r="H25" s="80"/>
    </row>
    <row r="26" spans="1:9" x14ac:dyDescent="0.2">
      <c r="A26" s="82"/>
      <c r="B26" s="83"/>
      <c r="C26" s="83"/>
      <c r="D26" s="150"/>
      <c r="E26" s="83"/>
      <c r="F26" s="85"/>
      <c r="G26" s="86"/>
      <c r="H26" s="86"/>
    </row>
    <row r="27" spans="1:9" ht="13.5" thickBot="1" x14ac:dyDescent="0.25">
      <c r="A27" s="87" t="s">
        <v>20</v>
      </c>
      <c r="B27" s="240" t="s">
        <v>622</v>
      </c>
      <c r="C27" s="266" t="s">
        <v>911</v>
      </c>
      <c r="D27" s="266" t="s">
        <v>622</v>
      </c>
      <c r="E27" s="266" t="s">
        <v>622</v>
      </c>
      <c r="F27" s="88"/>
      <c r="G27" s="91"/>
      <c r="H27" s="91"/>
      <c r="I27" s="277">
        <f>+'07.15-07.21'!I7+1</f>
        <v>4</v>
      </c>
    </row>
    <row r="28" spans="1:9" ht="13.5" thickTop="1" x14ac:dyDescent="0.2">
      <c r="A28" s="76"/>
      <c r="B28" s="77" t="s">
        <v>912</v>
      </c>
      <c r="C28" s="77" t="s">
        <v>913</v>
      </c>
      <c r="D28" s="127" t="s">
        <v>620</v>
      </c>
      <c r="E28" s="77" t="s">
        <v>914</v>
      </c>
      <c r="F28" s="79" t="s">
        <v>915</v>
      </c>
      <c r="G28" s="80"/>
      <c r="H28" s="80"/>
    </row>
    <row r="29" spans="1:9" x14ac:dyDescent="0.2">
      <c r="A29" s="82"/>
      <c r="B29" s="77" t="s">
        <v>916</v>
      </c>
      <c r="C29" s="77" t="s">
        <v>917</v>
      </c>
      <c r="D29" s="127" t="s">
        <v>918</v>
      </c>
      <c r="E29" s="77" t="s">
        <v>919</v>
      </c>
      <c r="F29" s="79"/>
      <c r="G29" s="80"/>
      <c r="H29" s="80"/>
    </row>
    <row r="30" spans="1:9" x14ac:dyDescent="0.2">
      <c r="A30" s="92" t="s">
        <v>41</v>
      </c>
      <c r="B30" s="127" t="s">
        <v>920</v>
      </c>
      <c r="C30" s="77"/>
      <c r="D30" s="127" t="s">
        <v>921</v>
      </c>
      <c r="E30" s="127" t="s">
        <v>922</v>
      </c>
      <c r="F30" s="79"/>
      <c r="G30" s="80"/>
      <c r="H30" s="80"/>
    </row>
    <row r="31" spans="1:9" x14ac:dyDescent="0.2">
      <c r="A31" s="93" t="s">
        <v>923</v>
      </c>
      <c r="B31" s="77" t="s">
        <v>919</v>
      </c>
      <c r="C31" s="77" t="s">
        <v>914</v>
      </c>
      <c r="D31" s="77" t="s">
        <v>914</v>
      </c>
      <c r="E31" s="127" t="s">
        <v>924</v>
      </c>
      <c r="F31" s="129" t="s">
        <v>925</v>
      </c>
      <c r="G31" s="80"/>
      <c r="H31" s="80"/>
    </row>
    <row r="32" spans="1:9" x14ac:dyDescent="0.2">
      <c r="A32" s="92"/>
      <c r="B32" s="77" t="s">
        <v>914</v>
      </c>
      <c r="C32" s="77" t="s">
        <v>919</v>
      </c>
      <c r="D32" s="77" t="s">
        <v>919</v>
      </c>
      <c r="E32" s="77"/>
      <c r="F32" s="79"/>
      <c r="G32" s="80"/>
      <c r="H32" s="80"/>
    </row>
    <row r="33" spans="1:8" x14ac:dyDescent="0.2">
      <c r="A33" s="92"/>
      <c r="B33" s="94"/>
      <c r="C33" s="94"/>
      <c r="D33" s="94"/>
      <c r="E33" s="94"/>
      <c r="F33" s="96"/>
      <c r="G33" s="97"/>
      <c r="H33" s="97"/>
    </row>
    <row r="34" spans="1:8" ht="13.5" thickBot="1" x14ac:dyDescent="0.25">
      <c r="A34" s="87" t="s">
        <v>20</v>
      </c>
      <c r="B34" s="266" t="s">
        <v>727</v>
      </c>
      <c r="C34" s="266" t="s">
        <v>727</v>
      </c>
      <c r="D34" s="266" t="s">
        <v>727</v>
      </c>
      <c r="E34" s="266" t="s">
        <v>727</v>
      </c>
      <c r="F34" s="266" t="s">
        <v>874</v>
      </c>
      <c r="G34" s="91"/>
      <c r="H34" s="91"/>
    </row>
    <row r="35" spans="1:8" ht="13.5" thickTop="1" x14ac:dyDescent="0.2">
      <c r="A35" s="76"/>
      <c r="B35" s="77"/>
      <c r="C35" s="77"/>
      <c r="D35" s="77"/>
      <c r="E35" s="77"/>
      <c r="F35" s="79"/>
      <c r="G35" s="80"/>
      <c r="H35" s="80"/>
    </row>
    <row r="36" spans="1:8" x14ac:dyDescent="0.2">
      <c r="A36" s="98"/>
      <c r="B36" s="99"/>
      <c r="C36" s="77"/>
      <c r="D36" s="77"/>
      <c r="E36" s="77"/>
      <c r="F36" s="79"/>
      <c r="G36" s="80"/>
      <c r="H36" s="80"/>
    </row>
    <row r="37" spans="1:8" x14ac:dyDescent="0.2">
      <c r="A37" s="92" t="s">
        <v>279</v>
      </c>
      <c r="B37" s="77"/>
      <c r="C37" s="77"/>
      <c r="D37" s="77"/>
      <c r="E37" s="77"/>
      <c r="F37" s="79"/>
      <c r="G37" s="80"/>
      <c r="H37" s="80"/>
    </row>
    <row r="38" spans="1:8" x14ac:dyDescent="0.2">
      <c r="A38" s="93" t="s">
        <v>67</v>
      </c>
      <c r="B38" s="77"/>
      <c r="C38" s="77"/>
      <c r="D38" s="77"/>
      <c r="E38" s="77"/>
      <c r="F38" s="79"/>
      <c r="G38" s="80"/>
      <c r="H38" s="80"/>
    </row>
    <row r="39" spans="1:8" x14ac:dyDescent="0.2">
      <c r="A39" s="92"/>
      <c r="B39" s="83"/>
      <c r="C39" s="83"/>
      <c r="D39" s="83"/>
      <c r="E39" s="83"/>
      <c r="F39" s="85"/>
      <c r="G39" s="86"/>
      <c r="H39" s="86"/>
    </row>
    <row r="40" spans="1:8" ht="13.5" thickBot="1" x14ac:dyDescent="0.25">
      <c r="A40" s="87" t="s">
        <v>20</v>
      </c>
      <c r="B40" s="88"/>
      <c r="C40" s="88"/>
      <c r="D40" s="88"/>
      <c r="E40" s="88"/>
      <c r="F40" s="90"/>
      <c r="G40" s="91"/>
      <c r="H40" s="91"/>
    </row>
    <row r="41" spans="1:8" ht="13.5" thickTop="1" x14ac:dyDescent="0.2">
      <c r="A41" s="76"/>
      <c r="B41" s="100"/>
      <c r="C41" s="100"/>
      <c r="D41" s="100"/>
      <c r="E41" s="100"/>
      <c r="F41" s="102"/>
      <c r="G41" s="103"/>
      <c r="H41" s="103"/>
    </row>
    <row r="42" spans="1:8" x14ac:dyDescent="0.2">
      <c r="A42" s="92" t="s">
        <v>71</v>
      </c>
      <c r="B42" s="100"/>
      <c r="C42" s="100"/>
      <c r="D42" s="100"/>
      <c r="E42" s="100"/>
      <c r="F42" s="102"/>
      <c r="G42" s="103"/>
      <c r="H42" s="103"/>
    </row>
    <row r="43" spans="1:8" x14ac:dyDescent="0.2">
      <c r="A43" s="93" t="s">
        <v>72</v>
      </c>
      <c r="B43" s="104"/>
      <c r="C43" s="104"/>
      <c r="D43" s="104"/>
      <c r="E43" s="104"/>
      <c r="F43" s="106"/>
      <c r="G43" s="107"/>
      <c r="H43" s="107"/>
    </row>
    <row r="44" spans="1:8" ht="13.5" thickBot="1" x14ac:dyDescent="0.25">
      <c r="A44" s="87" t="s">
        <v>20</v>
      </c>
      <c r="B44" s="108"/>
      <c r="C44" s="108"/>
      <c r="D44" s="108"/>
      <c r="E44" s="108"/>
      <c r="F44" s="110"/>
      <c r="G44" s="111"/>
      <c r="H44" s="111"/>
    </row>
    <row r="45" spans="1:8" ht="13.5" thickTop="1" x14ac:dyDescent="0.2">
      <c r="A45" s="112" t="s">
        <v>280</v>
      </c>
      <c r="B45" s="113" t="s">
        <v>211</v>
      </c>
      <c r="C45" s="113" t="s">
        <v>211</v>
      </c>
      <c r="D45" s="113" t="s">
        <v>211</v>
      </c>
      <c r="E45" s="113" t="s">
        <v>926</v>
      </c>
      <c r="F45" s="113" t="s">
        <v>927</v>
      </c>
      <c r="G45" s="113"/>
      <c r="H45" s="113"/>
    </row>
    <row r="46" spans="1:8" x14ac:dyDescent="0.2">
      <c r="A46" s="114" t="s">
        <v>282</v>
      </c>
      <c r="B46" s="113"/>
      <c r="C46" s="113"/>
      <c r="D46" s="113"/>
      <c r="E46" s="113"/>
      <c r="F46" s="113"/>
      <c r="G46" s="113"/>
      <c r="H46" s="113"/>
    </row>
    <row r="47" spans="1:8" x14ac:dyDescent="0.2">
      <c r="A47" s="163" t="s">
        <v>394</v>
      </c>
      <c r="B47" s="164"/>
      <c r="C47" s="164"/>
      <c r="D47" s="164"/>
      <c r="E47" s="164"/>
      <c r="F47" s="164"/>
      <c r="G47" s="113"/>
      <c r="H47" s="113"/>
    </row>
    <row r="48" spans="1:8" x14ac:dyDescent="0.2">
      <c r="A48" s="115"/>
      <c r="B48" s="113"/>
      <c r="C48" s="113"/>
      <c r="D48" s="113"/>
      <c r="E48" s="113"/>
      <c r="F48" s="113"/>
      <c r="G48" s="113"/>
      <c r="H48" s="113"/>
    </row>
    <row r="49" spans="1:9" ht="13.5" thickBot="1" x14ac:dyDescent="0.25">
      <c r="A49" s="248" t="s">
        <v>75</v>
      </c>
      <c r="B49" s="271" t="s">
        <v>76</v>
      </c>
      <c r="C49" s="113"/>
      <c r="D49" s="113"/>
      <c r="E49" s="113"/>
      <c r="F49" s="113"/>
      <c r="G49" s="113"/>
      <c r="H49" s="285" t="s">
        <v>463</v>
      </c>
      <c r="I49" s="286">
        <f>SUM(I3:I48)</f>
        <v>18</v>
      </c>
    </row>
    <row r="50" spans="1:9" ht="13.5" thickTop="1" x14ac:dyDescent="0.2">
      <c r="A50" s="115"/>
      <c r="B50" s="116"/>
      <c r="C50" s="116"/>
      <c r="D50" s="116"/>
      <c r="E50" s="116"/>
      <c r="F50" s="116"/>
      <c r="G50" s="116"/>
      <c r="H50" s="116"/>
    </row>
    <row r="51" spans="1:9" x14ac:dyDescent="0.2">
      <c r="A51" s="117"/>
      <c r="B51" s="116"/>
      <c r="C51" s="116"/>
      <c r="D51" s="116"/>
      <c r="E51" s="116"/>
      <c r="F51" s="116"/>
      <c r="G51" s="116"/>
      <c r="H51" s="116"/>
    </row>
    <row r="52" spans="1:9" x14ac:dyDescent="0.2">
      <c r="A52" s="117"/>
      <c r="B52" s="116"/>
      <c r="C52" s="116"/>
      <c r="D52" s="116"/>
      <c r="E52" s="116"/>
      <c r="F52" s="116"/>
      <c r="G52" s="116"/>
      <c r="H52" s="116"/>
    </row>
    <row r="53" spans="1:9" x14ac:dyDescent="0.2">
      <c r="A53" s="115"/>
      <c r="B53" s="118"/>
      <c r="C53" s="118"/>
      <c r="D53" s="118"/>
      <c r="E53" s="118"/>
      <c r="F53" s="118"/>
      <c r="G53" s="118"/>
      <c r="H53" s="118"/>
    </row>
    <row r="54" spans="1:9" x14ac:dyDescent="0.2">
      <c r="A54" s="115"/>
      <c r="B54" s="118"/>
      <c r="C54" s="118"/>
      <c r="D54" s="118"/>
      <c r="E54" s="118"/>
      <c r="F54" s="118"/>
      <c r="G54" s="118"/>
      <c r="H54" s="118"/>
    </row>
    <row r="55" spans="1:9" x14ac:dyDescent="0.2">
      <c r="A55" s="115"/>
      <c r="B55" s="118"/>
      <c r="C55" s="118"/>
      <c r="D55" s="118"/>
      <c r="E55" s="118"/>
      <c r="F55" s="118"/>
      <c r="G55" s="118"/>
      <c r="H55" s="118"/>
    </row>
    <row r="56" spans="1:9" x14ac:dyDescent="0.2">
      <c r="A56" s="115"/>
      <c r="B56" s="118"/>
      <c r="C56" s="118"/>
      <c r="D56" s="118"/>
      <c r="E56" s="118"/>
      <c r="F56" s="118"/>
      <c r="G56" s="118"/>
      <c r="H56" s="118"/>
    </row>
    <row r="57" spans="1:9" x14ac:dyDescent="0.2">
      <c r="A57" s="115"/>
      <c r="B57" s="118"/>
      <c r="C57" s="118"/>
      <c r="D57" s="118"/>
      <c r="E57" s="118"/>
      <c r="F57" s="118"/>
      <c r="G57" s="118"/>
      <c r="H57" s="118"/>
    </row>
    <row r="58" spans="1:9" x14ac:dyDescent="0.2">
      <c r="A58" s="115"/>
      <c r="B58" s="118"/>
      <c r="C58" s="118"/>
      <c r="D58" s="118"/>
      <c r="E58" s="118"/>
      <c r="F58" s="118"/>
      <c r="G58" s="118"/>
      <c r="H58" s="118"/>
    </row>
    <row r="59" spans="1:9" x14ac:dyDescent="0.2">
      <c r="A59" s="115"/>
      <c r="B59" s="118"/>
      <c r="C59" s="118"/>
      <c r="D59" s="118"/>
      <c r="E59" s="118"/>
      <c r="F59" s="118"/>
      <c r="G59" s="118"/>
      <c r="H59" s="118"/>
    </row>
    <row r="60" spans="1:9" x14ac:dyDescent="0.2">
      <c r="A60" s="117"/>
      <c r="B60" s="118"/>
      <c r="C60" s="118"/>
      <c r="D60" s="118"/>
      <c r="E60" s="118"/>
      <c r="F60" s="118"/>
      <c r="G60" s="118"/>
      <c r="H60" s="118"/>
    </row>
    <row r="61" spans="1:9" x14ac:dyDescent="0.2">
      <c r="A61" s="117"/>
      <c r="B61" s="118"/>
      <c r="C61" s="118"/>
      <c r="D61" s="118"/>
      <c r="E61" s="118"/>
      <c r="F61" s="118"/>
      <c r="G61" s="118"/>
      <c r="H61" s="118"/>
    </row>
    <row r="62" spans="1:9" x14ac:dyDescent="0.2">
      <c r="A62" s="115"/>
      <c r="B62" s="118"/>
      <c r="C62" s="118"/>
      <c r="D62" s="118"/>
      <c r="E62" s="118"/>
      <c r="F62" s="118"/>
      <c r="G62" s="118"/>
      <c r="H62" s="118"/>
    </row>
    <row r="63" spans="1:9" x14ac:dyDescent="0.2">
      <c r="A63" s="115"/>
      <c r="B63" s="118"/>
      <c r="C63" s="118"/>
      <c r="D63" s="118"/>
      <c r="E63" s="118"/>
      <c r="F63" s="118"/>
      <c r="G63" s="118"/>
      <c r="H63" s="118"/>
    </row>
    <row r="64" spans="1:9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"/>
      <headerFooter alignWithMargins="0">
        <oddHeader>&amp;C2019.07.22-28</oddHeader>
      </headerFooter>
    </customSheetView>
    <customSheetView guid="{46540580-8292-4E21-84A5-B58390F70AE7}" scale="80" showPageBreaks="1">
      <pane ySplit="1" topLeftCell="A2" activePane="bottomLeft" state="frozen"/>
      <selection pane="bottomLeft" activeCell="I14" sqref="I14"/>
      <pageMargins left="0" right="0" top="0" bottom="0" header="0" footer="0"/>
      <printOptions gridLines="1"/>
      <pageSetup paperSize="8" orientation="landscape" r:id="rId2"/>
      <headerFooter alignWithMargins="0">
        <oddHeader>&amp;C2019.07.22-28</oddHeader>
      </headerFooter>
    </customSheetView>
    <customSheetView guid="{07BAD8F1-49B6-40C7-A1B5-B8EF23A4A904}" scale="80" showPageBreaks="1" printArea="1">
      <pane ySplit="1" topLeftCell="A8" activePane="bottomLeft" state="frozen"/>
      <selection pane="bottomLeft" activeCell="B49" sqref="B49"/>
      <pageMargins left="0" right="0" top="0" bottom="0" header="0" footer="0"/>
      <printOptions gridLines="1"/>
      <pageSetup paperSize="8" scale="95" orientation="landscape" r:id="rId3"/>
      <headerFooter alignWithMargins="0">
        <oddHeader>&amp;C2019.07.22-28</oddHeader>
      </headerFooter>
    </customSheetView>
    <customSheetView guid="{4B58F0A9-071E-4376-B7AD-463366669E19}" scale="80">
      <pane ySplit="1" topLeftCell="A11" activePane="bottomLeft" state="frozen"/>
      <selection pane="bottomLeft" activeCell="E10" sqref="E10"/>
      <pageMargins left="0" right="0" top="0" bottom="0" header="0" footer="0"/>
      <printOptions gridLines="1"/>
      <pageSetup paperSize="9" scale="75" orientation="landscape" r:id="rId4"/>
      <headerFooter alignWithMargins="0">
        <oddHeader>&amp;C2019.07.22-28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&amp;C2019.07.22-28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6"/>
      <headerFooter alignWithMargins="0">
        <oddHeader>&amp;C2019.07.22-28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J18" sqref="J18"/>
      <pageMargins left="0" right="0" top="0" bottom="0" header="0" footer="0"/>
      <printOptions gridLines="1"/>
      <pageSetup paperSize="9" scale="75" orientation="landscape" r:id="rId7"/>
      <headerFooter alignWithMargins="0">
        <oddHeader>&amp;C2019.07.22-28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8"/>
      <headerFooter alignWithMargins="0">
        <oddHeader>&amp;C2019.07.22-28</oddHeader>
      </headerFooter>
    </customSheetView>
    <customSheetView guid="{A47E18E7-D250-4913-909E-65F626A4EC80}" scale="80" showPageBreaks="1" printArea="1">
      <pane ySplit="1" topLeftCell="A5" activePane="bottomLeft" state="frozen"/>
      <selection pane="bottomLeft" activeCell="I25" sqref="I25"/>
      <pageMargins left="0" right="0" top="0" bottom="0" header="0" footer="0"/>
      <printOptions gridLines="1"/>
      <pageSetup paperSize="9" scale="75" orientation="landscape" r:id="rId9"/>
      <headerFooter alignWithMargins="0">
        <oddHeader>&amp;C2019.07.22-28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J27" sqref="J27"/>
      <pageMargins left="0" right="0" top="0" bottom="0" header="0" footer="0"/>
      <printOptions gridLines="1"/>
      <pageSetup paperSize="8" scale="95" orientation="landscape" r:id="rId10"/>
      <headerFooter alignWithMargins="0">
        <oddHeader>&amp;C2019.07.22-28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F29" sqref="F29"/>
      <pageMargins left="0" right="0" top="0" bottom="0" header="0" footer="0"/>
      <printOptions gridLines="1"/>
      <pageSetup paperSize="8" scale="95" orientation="landscape" r:id="rId11"/>
      <headerFooter alignWithMargins="0">
        <oddHeader>&amp;C2019.07.22-28</oddHeader>
      </headerFooter>
    </customSheetView>
    <customSheetView guid="{0D091791-6928-48DD-B75F-0677FDB23A54}" scale="80" showPageBreaks="1" printArea="1">
      <pane ySplit="1" topLeftCell="A5" activePane="bottomLeft" state="frozen"/>
      <selection pane="bottomLeft" activeCell="I25" sqref="I25"/>
      <pageMargins left="0" right="0" top="0" bottom="0" header="0" footer="0"/>
      <printOptions gridLines="1"/>
      <pageSetup paperSize="9" scale="75" orientation="landscape" r:id="rId12"/>
      <headerFooter alignWithMargins="0">
        <oddHeader>&amp;C2019.07.22-28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9" scale="75" orientation="landscape" r:id="rId13"/>
  <headerFooter alignWithMargins="0">
    <oddHeader>&amp;C2019.07.22-28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Munka18"/>
  <dimension ref="A1:M140"/>
  <sheetViews>
    <sheetView zoomScale="80" zoomScaleNormal="80" zoomScaleSheetLayoutView="40" workbookViewId="0">
      <pane ySplit="1" topLeftCell="A2" activePane="bottomLeft" state="frozen"/>
      <selection pane="bottomLeft" activeCell="F8" sqref="F8"/>
    </sheetView>
  </sheetViews>
  <sheetFormatPr defaultColWidth="9.140625" defaultRowHeight="12.75" x14ac:dyDescent="0.2"/>
  <cols>
    <col min="1" max="1" width="10.7109375" style="119" customWidth="1"/>
    <col min="2" max="5" width="30.7109375" style="69" customWidth="1"/>
    <col min="6" max="6" width="27.7109375" style="69" customWidth="1"/>
    <col min="7" max="7" width="14.140625" style="69" customWidth="1"/>
    <col min="8" max="8" width="14.7109375" style="69" customWidth="1"/>
    <col min="9" max="9" width="10.28515625" style="69" customWidth="1"/>
    <col min="10" max="16384" width="9.140625" style="69"/>
  </cols>
  <sheetData>
    <row r="1" spans="1:9" ht="28.5" customHeight="1" thickTop="1" thickBot="1" x14ac:dyDescent="0.25">
      <c r="A1" s="64" t="s">
        <v>928</v>
      </c>
      <c r="B1" s="65" t="s">
        <v>929</v>
      </c>
      <c r="C1" s="65" t="s">
        <v>930</v>
      </c>
      <c r="D1" s="65" t="s">
        <v>931</v>
      </c>
      <c r="E1" s="65" t="s">
        <v>932</v>
      </c>
      <c r="F1" s="65" t="s">
        <v>933</v>
      </c>
      <c r="G1" s="67" t="s">
        <v>934</v>
      </c>
      <c r="H1" s="67" t="s">
        <v>935</v>
      </c>
      <c r="I1" s="68"/>
    </row>
    <row r="2" spans="1:9" ht="15" customHeight="1" x14ac:dyDescent="0.2">
      <c r="A2" s="70"/>
      <c r="B2" s="129" t="s">
        <v>796</v>
      </c>
      <c r="C2" s="127" t="s">
        <v>936</v>
      </c>
      <c r="D2" s="127" t="s">
        <v>937</v>
      </c>
      <c r="E2" s="127" t="s">
        <v>595</v>
      </c>
      <c r="F2" s="262" t="s">
        <v>938</v>
      </c>
      <c r="G2" s="74"/>
      <c r="H2" s="74"/>
      <c r="I2" s="75"/>
    </row>
    <row r="3" spans="1:9" ht="15" customHeight="1" x14ac:dyDescent="0.2">
      <c r="A3" s="76"/>
      <c r="B3" s="127" t="s">
        <v>620</v>
      </c>
      <c r="C3" s="77" t="s">
        <v>939</v>
      </c>
      <c r="D3" s="127" t="s">
        <v>940</v>
      </c>
      <c r="E3" s="127" t="s">
        <v>941</v>
      </c>
      <c r="F3" s="129" t="s">
        <v>942</v>
      </c>
      <c r="G3" s="80"/>
      <c r="H3" s="80"/>
      <c r="I3" s="75"/>
    </row>
    <row r="4" spans="1:9" ht="15" customHeight="1" x14ac:dyDescent="0.2">
      <c r="A4" s="76" t="s">
        <v>18</v>
      </c>
      <c r="B4" s="77"/>
      <c r="D4" s="77"/>
      <c r="E4" s="129" t="s">
        <v>942</v>
      </c>
      <c r="F4" s="79"/>
      <c r="G4" s="80"/>
      <c r="H4" s="80"/>
    </row>
    <row r="5" spans="1:9" ht="15" customHeight="1" x14ac:dyDescent="0.2">
      <c r="A5" s="81" t="s">
        <v>19</v>
      </c>
      <c r="B5" s="77"/>
      <c r="C5" s="127" t="s">
        <v>943</v>
      </c>
      <c r="D5" s="77"/>
      <c r="E5" s="77"/>
      <c r="F5" s="79"/>
      <c r="G5" s="80"/>
      <c r="H5" s="80"/>
    </row>
    <row r="6" spans="1:9" ht="15" customHeight="1" x14ac:dyDescent="0.2">
      <c r="A6" s="82"/>
      <c r="B6" s="83"/>
      <c r="C6" s="83"/>
      <c r="D6" s="83"/>
      <c r="E6" s="83"/>
      <c r="F6" s="85"/>
      <c r="G6" s="86"/>
      <c r="H6" s="86"/>
    </row>
    <row r="7" spans="1:9" ht="15" customHeight="1" thickBot="1" x14ac:dyDescent="0.25">
      <c r="A7" s="87" t="s">
        <v>20</v>
      </c>
      <c r="B7" s="281" t="s">
        <v>891</v>
      </c>
      <c r="C7" s="281" t="s">
        <v>606</v>
      </c>
      <c r="D7" s="272" t="s">
        <v>944</v>
      </c>
      <c r="E7" s="266" t="s">
        <v>945</v>
      </c>
      <c r="F7" s="283" t="s">
        <v>138</v>
      </c>
      <c r="G7" s="91"/>
      <c r="H7" s="91"/>
      <c r="I7" s="277">
        <v>1</v>
      </c>
    </row>
    <row r="8" spans="1:9" ht="15" customHeight="1" thickTop="1" x14ac:dyDescent="0.2">
      <c r="A8" s="82"/>
      <c r="B8" s="127" t="s">
        <v>262</v>
      </c>
      <c r="C8" s="127" t="s">
        <v>946</v>
      </c>
      <c r="D8" s="127" t="s">
        <v>947</v>
      </c>
      <c r="E8" s="127"/>
      <c r="F8" s="129" t="s">
        <v>942</v>
      </c>
      <c r="G8" s="80"/>
      <c r="H8" s="80"/>
    </row>
    <row r="9" spans="1:9" ht="15" customHeight="1" x14ac:dyDescent="0.2">
      <c r="A9" s="82"/>
      <c r="B9" s="77" t="s">
        <v>948</v>
      </c>
      <c r="C9" s="77"/>
      <c r="D9" s="127"/>
      <c r="E9" s="129"/>
      <c r="F9" s="79"/>
      <c r="G9" s="80"/>
      <c r="H9" s="80"/>
    </row>
    <row r="10" spans="1:9" ht="15" customHeight="1" x14ac:dyDescent="0.2">
      <c r="A10" s="92" t="s">
        <v>18</v>
      </c>
      <c r="B10" s="77"/>
      <c r="C10" s="77"/>
      <c r="D10" s="77"/>
      <c r="E10" s="77"/>
      <c r="F10" s="79"/>
      <c r="G10" s="80"/>
      <c r="H10" s="80"/>
    </row>
    <row r="11" spans="1:9" ht="15" customHeight="1" x14ac:dyDescent="0.2">
      <c r="A11" s="93" t="s">
        <v>30</v>
      </c>
      <c r="B11" s="77"/>
      <c r="C11" s="77"/>
      <c r="D11" s="77"/>
      <c r="E11" s="77"/>
      <c r="F11" s="79"/>
      <c r="G11" s="80"/>
      <c r="H11" s="80"/>
    </row>
    <row r="12" spans="1:9" ht="15" customHeight="1" x14ac:dyDescent="0.2">
      <c r="A12" s="82"/>
      <c r="B12" s="77"/>
      <c r="C12" s="77"/>
      <c r="D12" s="77"/>
      <c r="E12" s="77"/>
      <c r="F12" s="79"/>
      <c r="G12" s="80"/>
      <c r="H12" s="80"/>
    </row>
    <row r="13" spans="1:9" ht="15" customHeight="1" x14ac:dyDescent="0.2">
      <c r="A13" s="82"/>
      <c r="B13" s="83"/>
      <c r="C13" s="83"/>
      <c r="D13" s="83"/>
      <c r="E13" s="83"/>
      <c r="F13" s="85"/>
      <c r="G13" s="86"/>
      <c r="H13" s="86"/>
    </row>
    <row r="14" spans="1:9" s="263" customFormat="1" ht="15" customHeight="1" thickBot="1" x14ac:dyDescent="0.25">
      <c r="A14" s="87" t="s">
        <v>20</v>
      </c>
      <c r="B14" s="272" t="s">
        <v>31</v>
      </c>
      <c r="C14" s="272" t="s">
        <v>154</v>
      </c>
      <c r="D14" s="272" t="s">
        <v>154</v>
      </c>
      <c r="E14" s="88"/>
      <c r="F14" s="272" t="s">
        <v>31</v>
      </c>
      <c r="G14" s="91"/>
      <c r="H14" s="91"/>
      <c r="I14" s="278">
        <f>+'07.22-07.28'!I14+3</f>
        <v>17</v>
      </c>
    </row>
    <row r="15" spans="1:9" ht="15" customHeight="1" thickTop="1" x14ac:dyDescent="0.2">
      <c r="A15" s="82"/>
      <c r="B15" s="77"/>
      <c r="C15" s="127" t="s">
        <v>48</v>
      </c>
      <c r="D15" s="127" t="s">
        <v>949</v>
      </c>
      <c r="E15" s="127" t="s">
        <v>949</v>
      </c>
      <c r="F15" s="129" t="s">
        <v>942</v>
      </c>
      <c r="G15" s="80"/>
      <c r="H15" s="80"/>
    </row>
    <row r="16" spans="1:9" ht="15" customHeight="1" x14ac:dyDescent="0.2">
      <c r="A16" s="82"/>
      <c r="B16" s="77"/>
      <c r="C16" s="77"/>
      <c r="D16" s="77"/>
      <c r="E16" s="77"/>
      <c r="F16" s="127" t="s">
        <v>950</v>
      </c>
      <c r="G16" s="80"/>
      <c r="H16" s="80"/>
    </row>
    <row r="17" spans="1:13" ht="15" customHeight="1" x14ac:dyDescent="0.2">
      <c r="A17" s="92" t="s">
        <v>593</v>
      </c>
      <c r="B17" s="77"/>
      <c r="D17" s="77"/>
      <c r="E17" s="77"/>
      <c r="F17" s="79"/>
      <c r="G17" s="80"/>
      <c r="H17" s="80"/>
    </row>
    <row r="18" spans="1:13" ht="15" customHeight="1" x14ac:dyDescent="0.2">
      <c r="A18" s="93">
        <v>601</v>
      </c>
      <c r="B18" s="77"/>
      <c r="C18" s="127"/>
      <c r="D18" s="77"/>
      <c r="E18" s="77"/>
      <c r="F18" s="79"/>
      <c r="G18" s="80"/>
      <c r="H18" s="80"/>
    </row>
    <row r="19" spans="1:13" x14ac:dyDescent="0.2">
      <c r="A19" s="82"/>
      <c r="B19" s="83"/>
      <c r="C19" s="83"/>
      <c r="D19" s="83"/>
      <c r="E19" s="83"/>
      <c r="F19" s="85"/>
      <c r="G19" s="86"/>
      <c r="H19" s="86"/>
    </row>
    <row r="20" spans="1:13" s="263" customFormat="1" ht="13.5" thickBot="1" x14ac:dyDescent="0.25">
      <c r="A20" s="87" t="s">
        <v>20</v>
      </c>
      <c r="B20" s="88"/>
      <c r="C20" s="281" t="s">
        <v>622</v>
      </c>
      <c r="D20" s="281" t="s">
        <v>622</v>
      </c>
      <c r="E20" s="280" t="s">
        <v>622</v>
      </c>
      <c r="F20" s="281" t="s">
        <v>622</v>
      </c>
      <c r="G20" s="91"/>
      <c r="H20" s="91"/>
    </row>
    <row r="21" spans="1:13" ht="13.5" thickTop="1" x14ac:dyDescent="0.2">
      <c r="A21" s="82"/>
      <c r="B21" s="77"/>
      <c r="C21" s="127" t="s">
        <v>951</v>
      </c>
      <c r="D21" s="152" t="s">
        <v>952</v>
      </c>
      <c r="E21" s="71" t="s">
        <v>953</v>
      </c>
      <c r="F21" s="168"/>
      <c r="G21" s="80"/>
      <c r="H21" s="80"/>
    </row>
    <row r="22" spans="1:13" x14ac:dyDescent="0.2">
      <c r="A22" s="82"/>
      <c r="B22" s="77"/>
      <c r="C22" s="77"/>
      <c r="D22" s="152" t="s">
        <v>954</v>
      </c>
      <c r="E22" s="77" t="s">
        <v>955</v>
      </c>
      <c r="F22" s="168"/>
      <c r="G22" s="80"/>
      <c r="H22" s="80"/>
    </row>
    <row r="23" spans="1:13" x14ac:dyDescent="0.2">
      <c r="A23" s="92" t="s">
        <v>593</v>
      </c>
      <c r="B23" s="77"/>
      <c r="C23" s="77"/>
      <c r="D23" s="154" t="s">
        <v>956</v>
      </c>
      <c r="E23" s="264" t="s">
        <v>938</v>
      </c>
      <c r="F23" s="168"/>
      <c r="G23" s="80"/>
      <c r="H23" s="80"/>
    </row>
    <row r="24" spans="1:13" x14ac:dyDescent="0.2">
      <c r="A24" s="93">
        <v>602</v>
      </c>
      <c r="B24" s="77"/>
      <c r="C24" s="77"/>
      <c r="D24" s="154"/>
      <c r="E24" s="127" t="s">
        <v>957</v>
      </c>
      <c r="F24" s="168"/>
      <c r="G24" s="80"/>
      <c r="H24" s="80"/>
    </row>
    <row r="25" spans="1:13" x14ac:dyDescent="0.2">
      <c r="A25" s="82"/>
      <c r="B25" s="77"/>
      <c r="C25" s="77"/>
      <c r="D25" s="154"/>
      <c r="E25" s="77"/>
      <c r="F25" s="168"/>
      <c r="G25" s="80"/>
      <c r="H25" s="80"/>
    </row>
    <row r="26" spans="1:13" x14ac:dyDescent="0.2">
      <c r="A26" s="82"/>
      <c r="B26" s="83"/>
      <c r="C26" s="83"/>
      <c r="D26" s="155"/>
      <c r="E26" s="83"/>
      <c r="F26" s="169"/>
      <c r="G26" s="86"/>
      <c r="H26" s="86"/>
    </row>
    <row r="27" spans="1:13" ht="13.5" thickBot="1" x14ac:dyDescent="0.25">
      <c r="A27" s="87" t="s">
        <v>20</v>
      </c>
      <c r="B27" s="88" t="s">
        <v>138</v>
      </c>
      <c r="C27" s="281" t="s">
        <v>138</v>
      </c>
      <c r="D27" s="282" t="s">
        <v>138</v>
      </c>
      <c r="E27" s="266" t="s">
        <v>138</v>
      </c>
      <c r="F27" s="140"/>
      <c r="G27" s="91"/>
      <c r="H27" s="91"/>
    </row>
    <row r="28" spans="1:13" ht="13.5" thickTop="1" x14ac:dyDescent="0.2">
      <c r="A28" s="76"/>
      <c r="B28" s="77" t="s">
        <v>958</v>
      </c>
      <c r="C28" s="77" t="s">
        <v>706</v>
      </c>
      <c r="D28" s="77" t="s">
        <v>959</v>
      </c>
      <c r="E28" s="127"/>
      <c r="F28" s="79"/>
      <c r="G28" s="80"/>
      <c r="H28" s="80"/>
    </row>
    <row r="29" spans="1:13" x14ac:dyDescent="0.2">
      <c r="A29" s="82"/>
      <c r="B29" s="77"/>
      <c r="C29" s="77" t="s">
        <v>960</v>
      </c>
      <c r="D29" s="77" t="s">
        <v>961</v>
      </c>
      <c r="E29" s="77" t="s">
        <v>962</v>
      </c>
      <c r="F29" s="79"/>
      <c r="G29" s="80"/>
      <c r="H29" s="80"/>
    </row>
    <row r="30" spans="1:13" x14ac:dyDescent="0.2">
      <c r="A30" s="92" t="s">
        <v>41</v>
      </c>
      <c r="B30" s="77"/>
      <c r="C30" s="77" t="s">
        <v>963</v>
      </c>
      <c r="D30" s="77" t="s">
        <v>964</v>
      </c>
      <c r="E30" s="77" t="s">
        <v>965</v>
      </c>
      <c r="F30" s="79"/>
      <c r="G30" s="80"/>
      <c r="H30" s="80"/>
      <c r="M30" s="118"/>
    </row>
    <row r="31" spans="1:13" x14ac:dyDescent="0.2">
      <c r="A31" s="93" t="s">
        <v>923</v>
      </c>
      <c r="B31" s="129" t="s">
        <v>925</v>
      </c>
      <c r="C31" s="77"/>
      <c r="D31" s="77" t="s">
        <v>966</v>
      </c>
      <c r="E31" s="77" t="s">
        <v>967</v>
      </c>
      <c r="F31" s="79"/>
      <c r="G31" s="80"/>
      <c r="H31" s="80"/>
    </row>
    <row r="32" spans="1:13" x14ac:dyDescent="0.2">
      <c r="A32" s="92"/>
      <c r="B32" s="77" t="s">
        <v>968</v>
      </c>
      <c r="D32" s="77"/>
      <c r="E32" s="77" t="s">
        <v>969</v>
      </c>
      <c r="F32" s="129" t="s">
        <v>925</v>
      </c>
      <c r="G32" s="80"/>
      <c r="H32" s="80"/>
    </row>
    <row r="33" spans="1:9" x14ac:dyDescent="0.2">
      <c r="A33" s="92"/>
      <c r="B33" s="94" t="s">
        <v>970</v>
      </c>
      <c r="C33" s="94"/>
      <c r="D33" s="127" t="s">
        <v>969</v>
      </c>
      <c r="E33" s="94"/>
      <c r="F33" s="96"/>
      <c r="G33" s="97"/>
      <c r="H33" s="97"/>
    </row>
    <row r="34" spans="1:9" ht="13.5" thickBot="1" x14ac:dyDescent="0.25">
      <c r="A34" s="87" t="s">
        <v>20</v>
      </c>
      <c r="B34" s="281" t="s">
        <v>971</v>
      </c>
      <c r="C34" s="281" t="s">
        <v>727</v>
      </c>
      <c r="D34" s="281" t="s">
        <v>259</v>
      </c>
      <c r="E34" s="266" t="s">
        <v>259</v>
      </c>
      <c r="F34" s="284" t="s">
        <v>224</v>
      </c>
      <c r="G34" s="91"/>
      <c r="H34" s="91"/>
    </row>
    <row r="35" spans="1:9" ht="13.5" thickTop="1" x14ac:dyDescent="0.2">
      <c r="A35" s="76"/>
      <c r="B35" s="77"/>
      <c r="C35" s="127"/>
      <c r="D35" s="77"/>
      <c r="E35" s="77"/>
      <c r="F35" s="79"/>
      <c r="G35" s="80"/>
      <c r="H35" s="80"/>
    </row>
    <row r="36" spans="1:9" x14ac:dyDescent="0.2">
      <c r="A36" s="98"/>
      <c r="B36" s="99"/>
      <c r="C36" s="77"/>
      <c r="D36" s="77"/>
      <c r="E36" s="77"/>
      <c r="F36" s="79"/>
      <c r="G36" s="80"/>
      <c r="H36" s="80"/>
    </row>
    <row r="37" spans="1:9" x14ac:dyDescent="0.2">
      <c r="A37" s="92" t="s">
        <v>279</v>
      </c>
      <c r="B37" s="77"/>
      <c r="C37" s="77"/>
      <c r="D37" s="77"/>
      <c r="E37" s="77"/>
      <c r="F37" s="79"/>
      <c r="G37" s="80"/>
      <c r="H37" s="80"/>
    </row>
    <row r="38" spans="1:9" x14ac:dyDescent="0.2">
      <c r="A38" s="93" t="s">
        <v>67</v>
      </c>
      <c r="B38" s="77"/>
      <c r="C38" s="77"/>
      <c r="D38" s="77"/>
      <c r="E38" s="77"/>
      <c r="F38" s="79"/>
      <c r="G38" s="80"/>
      <c r="H38" s="80"/>
    </row>
    <row r="39" spans="1:9" x14ac:dyDescent="0.2">
      <c r="A39" s="92"/>
      <c r="B39" s="83"/>
      <c r="C39" s="83"/>
      <c r="D39" s="83"/>
      <c r="E39" s="83"/>
      <c r="F39" s="85"/>
      <c r="G39" s="86"/>
      <c r="H39" s="86"/>
    </row>
    <row r="40" spans="1:9" ht="13.5" thickBot="1" x14ac:dyDescent="0.25">
      <c r="A40" s="87" t="s">
        <v>20</v>
      </c>
      <c r="B40" s="88"/>
      <c r="C40" s="88"/>
      <c r="D40" s="88"/>
      <c r="E40" s="88"/>
      <c r="F40" s="90"/>
      <c r="G40" s="91"/>
      <c r="H40" s="91"/>
    </row>
    <row r="41" spans="1:9" ht="13.5" thickTop="1" x14ac:dyDescent="0.2">
      <c r="A41" s="76"/>
      <c r="B41" s="100"/>
      <c r="C41" s="100"/>
      <c r="D41" s="100"/>
      <c r="E41" s="100"/>
      <c r="F41" s="102"/>
      <c r="G41" s="103"/>
      <c r="H41" s="103"/>
    </row>
    <row r="42" spans="1:9" x14ac:dyDescent="0.2">
      <c r="A42" s="92" t="s">
        <v>71</v>
      </c>
      <c r="B42" s="100"/>
      <c r="C42" s="100"/>
      <c r="D42" s="100"/>
      <c r="E42" s="100"/>
      <c r="F42" s="102"/>
      <c r="G42" s="103"/>
      <c r="H42" s="103"/>
    </row>
    <row r="43" spans="1:9" x14ac:dyDescent="0.2">
      <c r="A43" s="93" t="s">
        <v>72</v>
      </c>
      <c r="B43" s="104"/>
      <c r="C43" s="104"/>
      <c r="D43" s="104"/>
      <c r="E43" s="104"/>
      <c r="F43" s="106"/>
      <c r="G43" s="107"/>
      <c r="H43" s="107"/>
    </row>
    <row r="44" spans="1:9" ht="13.5" thickBot="1" x14ac:dyDescent="0.25">
      <c r="A44" s="87" t="s">
        <v>20</v>
      </c>
      <c r="B44" s="108"/>
      <c r="C44" s="108"/>
      <c r="D44" s="108"/>
      <c r="E44" s="108"/>
      <c r="F44" s="110"/>
      <c r="G44" s="111"/>
      <c r="H44" s="111"/>
    </row>
    <row r="45" spans="1:9" ht="13.5" thickTop="1" x14ac:dyDescent="0.2">
      <c r="A45" s="112" t="s">
        <v>280</v>
      </c>
      <c r="B45" s="113"/>
      <c r="C45" s="113"/>
      <c r="D45" s="113"/>
      <c r="E45" s="113"/>
      <c r="F45" s="113"/>
      <c r="G45" s="113"/>
      <c r="H45" s="113"/>
    </row>
    <row r="46" spans="1:9" x14ac:dyDescent="0.2">
      <c r="A46" s="114" t="s">
        <v>282</v>
      </c>
      <c r="B46" s="113"/>
      <c r="C46" s="113"/>
      <c r="D46" s="113"/>
      <c r="E46" s="113"/>
      <c r="F46" s="113"/>
      <c r="G46" s="113"/>
      <c r="H46" s="113"/>
    </row>
    <row r="47" spans="1:9" x14ac:dyDescent="0.2">
      <c r="A47" s="163" t="s">
        <v>394</v>
      </c>
      <c r="B47" s="164"/>
      <c r="C47" s="164"/>
      <c r="D47" s="164"/>
      <c r="E47" s="164"/>
      <c r="F47" s="164"/>
      <c r="G47" s="113"/>
      <c r="H47" s="113"/>
    </row>
    <row r="48" spans="1:9" x14ac:dyDescent="0.2">
      <c r="A48" s="115"/>
      <c r="B48" s="113"/>
      <c r="C48" s="113"/>
      <c r="D48" s="113"/>
      <c r="E48" s="113"/>
      <c r="F48" s="113"/>
      <c r="G48" s="113"/>
      <c r="H48" s="285" t="s">
        <v>463</v>
      </c>
      <c r="I48" s="286">
        <f>SUM(I2:I47)</f>
        <v>18</v>
      </c>
    </row>
    <row r="49" spans="1:8" ht="13.5" thickBot="1" x14ac:dyDescent="0.25">
      <c r="A49" s="248" t="s">
        <v>75</v>
      </c>
      <c r="B49" s="271" t="s">
        <v>76</v>
      </c>
      <c r="C49" s="113"/>
      <c r="D49" s="113"/>
      <c r="E49" s="113"/>
      <c r="F49" s="113"/>
      <c r="G49" s="113"/>
      <c r="H49" s="113"/>
    </row>
    <row r="50" spans="1:8" ht="13.5" thickTop="1" x14ac:dyDescent="0.2">
      <c r="A50" s="115"/>
      <c r="B50" s="116"/>
      <c r="C50" s="116"/>
      <c r="D50" s="116"/>
      <c r="E50" s="116"/>
      <c r="F50" s="116"/>
      <c r="G50" s="116"/>
      <c r="H50" s="116"/>
    </row>
    <row r="51" spans="1:8" x14ac:dyDescent="0.2">
      <c r="A51" s="117"/>
      <c r="B51" s="116"/>
      <c r="C51" s="116"/>
      <c r="D51" s="116"/>
      <c r="E51" s="116"/>
      <c r="F51" s="116"/>
      <c r="G51" s="116"/>
      <c r="H51" s="116"/>
    </row>
    <row r="52" spans="1:8" x14ac:dyDescent="0.2">
      <c r="A52" s="117"/>
      <c r="B52" s="116"/>
      <c r="C52" s="116"/>
      <c r="D52" s="116"/>
      <c r="E52" s="116"/>
      <c r="F52" s="116"/>
      <c r="G52" s="116"/>
      <c r="H52" s="116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5"/>
      <c r="B59" s="118"/>
      <c r="C59" s="118"/>
      <c r="D59" s="118"/>
      <c r="E59" s="118"/>
      <c r="F59" s="118"/>
      <c r="G59" s="118"/>
      <c r="H59" s="118"/>
    </row>
    <row r="60" spans="1:8" x14ac:dyDescent="0.2">
      <c r="A60" s="117"/>
      <c r="B60" s="118"/>
      <c r="C60" s="118"/>
      <c r="D60" s="118"/>
      <c r="E60" s="118"/>
      <c r="F60" s="118"/>
      <c r="G60" s="118"/>
      <c r="H60" s="118"/>
    </row>
    <row r="61" spans="1:8" x14ac:dyDescent="0.2">
      <c r="A61" s="117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"/>
      <headerFooter alignWithMargins="0">
        <oddHeader>&amp;C2019.07.29-08.04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I14" sqref="I14"/>
      <pageMargins left="0" right="0" top="0" bottom="0" header="0" footer="0"/>
      <printOptions gridLines="1"/>
      <pageSetup paperSize="8" scale="95" orientation="landscape" r:id="rId2"/>
      <headerFooter alignWithMargins="0">
        <oddHeader>&amp;C2019.07.29-08.04</oddHeader>
      </headerFooter>
    </customSheetView>
    <customSheetView guid="{07BAD8F1-49B6-40C7-A1B5-B8EF23A4A904}" scale="80" showPageBreaks="1" printArea="1">
      <pane ySplit="1" topLeftCell="A8" activePane="bottomLeft" state="frozen"/>
      <selection pane="bottomLeft" activeCell="B47" sqref="B47"/>
      <pageMargins left="0" right="0" top="0" bottom="0" header="0" footer="0"/>
      <printOptions gridLines="1"/>
      <pageSetup paperSize="8" scale="95" orientation="landscape" r:id="rId3"/>
      <headerFooter alignWithMargins="0">
        <oddHeader>&amp;C2019.07.29-08.04</oddHeader>
      </headerFooter>
    </customSheetView>
    <customSheetView guid="{4B58F0A9-071E-4376-B7AD-463366669E19}" scale="80">
      <pane ySplit="1" topLeftCell="A5" activePane="bottomLeft" state="frozen"/>
      <selection pane="bottomLeft" activeCell="B12" sqref="B12"/>
      <pageMargins left="0" right="0" top="0" bottom="0" header="0" footer="0"/>
      <printOptions gridLines="1"/>
      <pageSetup paperSize="9" scale="75" orientation="landscape" r:id="rId4"/>
      <headerFooter alignWithMargins="0">
        <oddHeader>&amp;C2019.07.29-08.04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&amp;C2019.07.29-08.04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E32" sqref="E32"/>
      <pageMargins left="0" right="0" top="0" bottom="0" header="0" footer="0"/>
      <printOptions gridLines="1"/>
      <pageSetup paperSize="8" scale="95" orientation="landscape" r:id="rId6"/>
      <headerFooter alignWithMargins="0">
        <oddHeader>&amp;C2019.07.29-08.04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B17" sqref="B17"/>
      <pageMargins left="0" right="0" top="0" bottom="0" header="0" footer="0"/>
      <printOptions gridLines="1"/>
      <pageSetup paperSize="9" scale="75" orientation="landscape" r:id="rId7"/>
      <headerFooter alignWithMargins="0">
        <oddHeader>&amp;C2019.07.29-08.04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H3" sqref="H3"/>
      <pageMargins left="0" right="0" top="0" bottom="0" header="0" footer="0"/>
      <printOptions gridLines="1"/>
      <pageSetup paperSize="8" scale="95" orientation="landscape" r:id="rId8"/>
      <headerFooter alignWithMargins="0">
        <oddHeader>&amp;C2019.07.29-08.04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F8" sqref="F8"/>
      <pageMargins left="0" right="0" top="0" bottom="0" header="0" footer="0"/>
      <printOptions gridLines="1"/>
      <pageSetup paperSize="9" scale="75" orientation="landscape" r:id="rId9"/>
      <headerFooter alignWithMargins="0">
        <oddHeader>&amp;C2019.07.29-08.04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K31" sqref="K31"/>
      <pageMargins left="0" right="0" top="0" bottom="0" header="0" footer="0"/>
      <printOptions gridLines="1"/>
      <pageSetup paperSize="8" scale="95" orientation="landscape" r:id="rId10"/>
      <headerFooter alignWithMargins="0">
        <oddHeader>&amp;C2019.07.29-08.04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D38" sqref="D38"/>
      <pageMargins left="0" right="0" top="0" bottom="0" header="0" footer="0"/>
      <printOptions gridLines="1"/>
      <pageSetup paperSize="8" scale="95" orientation="landscape" r:id="rId11"/>
      <headerFooter alignWithMargins="0">
        <oddHeader>&amp;C2019.07.29-08.04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F8" sqref="F8"/>
      <pageMargins left="0" right="0" top="0" bottom="0" header="0" footer="0"/>
      <printOptions gridLines="1"/>
      <pageSetup paperSize="9" scale="75" orientation="landscape" r:id="rId12"/>
      <headerFooter alignWithMargins="0">
        <oddHeader>&amp;C2019.07.29-08.04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9" scale="75" orientation="landscape" r:id="rId13"/>
  <headerFooter alignWithMargins="0">
    <oddHeader>&amp;C2019.07.29-08.04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Munka19"/>
  <dimension ref="A1:I138"/>
  <sheetViews>
    <sheetView zoomScale="80" zoomScaleNormal="80" zoomScaleSheetLayoutView="40" workbookViewId="0">
      <pane ySplit="1" topLeftCell="A2" activePane="bottomLeft" state="frozen"/>
      <selection pane="bottomLeft" activeCell="A21" sqref="A21:A22"/>
    </sheetView>
  </sheetViews>
  <sheetFormatPr defaultColWidth="9.140625" defaultRowHeight="12.75" x14ac:dyDescent="0.2"/>
  <cols>
    <col min="1" max="1" width="10.7109375" style="119" customWidth="1"/>
    <col min="2" max="2" width="30.7109375" style="69" customWidth="1"/>
    <col min="3" max="4" width="27.42578125" style="69" customWidth="1"/>
    <col min="5" max="5" width="35.85546875" style="69" customWidth="1"/>
    <col min="6" max="6" width="26.5703125" style="69" customWidth="1"/>
    <col min="7" max="7" width="28.42578125" style="69" customWidth="1"/>
    <col min="8" max="8" width="19.85546875" style="69" customWidth="1"/>
    <col min="9" max="9" width="9.42578125" style="69" customWidth="1"/>
    <col min="10" max="16384" width="9.140625" style="69"/>
  </cols>
  <sheetData>
    <row r="1" spans="1:9" ht="28.5" customHeight="1" thickTop="1" thickBot="1" x14ac:dyDescent="0.25">
      <c r="A1" s="64" t="s">
        <v>972</v>
      </c>
      <c r="B1" s="65" t="s">
        <v>973</v>
      </c>
      <c r="C1" s="65" t="s">
        <v>974</v>
      </c>
      <c r="D1" s="65" t="s">
        <v>975</v>
      </c>
      <c r="E1" s="65" t="s">
        <v>976</v>
      </c>
      <c r="F1" s="65" t="s">
        <v>977</v>
      </c>
      <c r="G1" s="65" t="s">
        <v>978</v>
      </c>
      <c r="H1" s="67" t="s">
        <v>979</v>
      </c>
      <c r="I1" s="68"/>
    </row>
    <row r="2" spans="1:9" ht="15" customHeight="1" x14ac:dyDescent="0.2">
      <c r="A2" s="70"/>
      <c r="B2" s="71"/>
      <c r="C2" s="71"/>
      <c r="D2" s="71"/>
      <c r="E2" s="71"/>
      <c r="F2" s="73"/>
      <c r="G2" s="71"/>
      <c r="H2" s="74"/>
      <c r="I2" s="75"/>
    </row>
    <row r="3" spans="1:9" ht="15" customHeight="1" x14ac:dyDescent="0.2">
      <c r="A3" s="76" t="s">
        <v>18</v>
      </c>
      <c r="B3" s="77"/>
      <c r="C3" s="77"/>
      <c r="D3" s="77"/>
      <c r="E3" s="77"/>
      <c r="F3" s="79"/>
      <c r="G3" s="77"/>
      <c r="H3" s="80"/>
    </row>
    <row r="4" spans="1:9" ht="15" customHeight="1" x14ac:dyDescent="0.2">
      <c r="A4" s="81" t="s">
        <v>19</v>
      </c>
      <c r="B4" s="77"/>
      <c r="C4" s="77"/>
      <c r="D4" s="77"/>
      <c r="E4" s="77"/>
      <c r="F4" s="79"/>
      <c r="G4" s="77"/>
      <c r="H4" s="80"/>
    </row>
    <row r="5" spans="1:9" ht="15" customHeight="1" x14ac:dyDescent="0.2">
      <c r="A5" s="82"/>
      <c r="B5" s="83"/>
      <c r="C5" s="83"/>
      <c r="D5" s="83"/>
      <c r="E5" s="83"/>
      <c r="F5" s="85"/>
      <c r="G5" s="83"/>
      <c r="H5" s="86"/>
    </row>
    <row r="6" spans="1:9" ht="15" customHeight="1" thickBot="1" x14ac:dyDescent="0.25">
      <c r="A6" s="87" t="s">
        <v>20</v>
      </c>
      <c r="B6" s="88"/>
      <c r="C6" s="88"/>
      <c r="D6" s="88"/>
      <c r="E6" s="88"/>
      <c r="F6" s="90"/>
      <c r="G6" s="88"/>
      <c r="H6" s="91"/>
    </row>
    <row r="7" spans="1:9" ht="15" customHeight="1" thickTop="1" x14ac:dyDescent="0.2">
      <c r="A7" s="82"/>
      <c r="B7" s="127" t="s">
        <v>980</v>
      </c>
      <c r="C7" s="127" t="s">
        <v>981</v>
      </c>
      <c r="D7" s="127" t="s">
        <v>982</v>
      </c>
      <c r="E7" s="77" t="s">
        <v>983</v>
      </c>
      <c r="F7" s="79"/>
      <c r="G7" s="77" t="s">
        <v>984</v>
      </c>
      <c r="H7" s="80"/>
    </row>
    <row r="8" spans="1:9" ht="15" customHeight="1" x14ac:dyDescent="0.2">
      <c r="A8" s="82"/>
      <c r="B8" s="77"/>
      <c r="C8" s="77" t="s">
        <v>985</v>
      </c>
      <c r="D8" s="77" t="s">
        <v>986</v>
      </c>
      <c r="E8" s="127" t="s">
        <v>987</v>
      </c>
      <c r="F8" s="79"/>
      <c r="G8" s="77" t="s">
        <v>988</v>
      </c>
      <c r="H8" s="80"/>
    </row>
    <row r="9" spans="1:9" ht="15" customHeight="1" x14ac:dyDescent="0.2">
      <c r="A9" s="92" t="s">
        <v>18</v>
      </c>
      <c r="B9" s="77"/>
      <c r="C9" s="77"/>
      <c r="D9" s="77"/>
      <c r="E9" s="77" t="s">
        <v>483</v>
      </c>
      <c r="F9" s="79"/>
      <c r="G9" s="77" t="s">
        <v>989</v>
      </c>
      <c r="H9" s="80"/>
    </row>
    <row r="10" spans="1:9" ht="15" customHeight="1" x14ac:dyDescent="0.2">
      <c r="A10" s="93" t="s">
        <v>30</v>
      </c>
      <c r="B10" s="77"/>
      <c r="C10" s="77"/>
      <c r="D10" s="77"/>
      <c r="E10" s="77" t="s">
        <v>990</v>
      </c>
      <c r="F10" s="79"/>
      <c r="G10" s="77"/>
      <c r="H10" s="80"/>
    </row>
    <row r="11" spans="1:9" ht="15" customHeight="1" x14ac:dyDescent="0.2">
      <c r="A11" s="82"/>
      <c r="B11" s="83"/>
      <c r="C11" s="83"/>
      <c r="D11" s="83"/>
      <c r="E11" s="83"/>
      <c r="F11" s="85"/>
      <c r="G11" s="83"/>
      <c r="H11" s="86"/>
    </row>
    <row r="12" spans="1:9" ht="15" customHeight="1" thickBot="1" x14ac:dyDescent="0.25">
      <c r="A12" s="87" t="s">
        <v>20</v>
      </c>
      <c r="B12" s="240" t="s">
        <v>31</v>
      </c>
      <c r="C12" s="240" t="s">
        <v>31</v>
      </c>
      <c r="D12" s="240" t="s">
        <v>31</v>
      </c>
      <c r="E12" s="240" t="s">
        <v>31</v>
      </c>
      <c r="F12" s="88"/>
      <c r="G12" s="240" t="s">
        <v>31</v>
      </c>
      <c r="H12" s="91"/>
      <c r="I12" s="277">
        <f>1+5</f>
        <v>6</v>
      </c>
    </row>
    <row r="13" spans="1:9" ht="15" customHeight="1" thickTop="1" x14ac:dyDescent="0.2">
      <c r="A13" s="82"/>
      <c r="B13" s="77"/>
      <c r="C13" s="77" t="s">
        <v>991</v>
      </c>
      <c r="D13" s="77" t="s">
        <v>992</v>
      </c>
      <c r="E13" s="77" t="s">
        <v>993</v>
      </c>
      <c r="F13" s="69" t="s">
        <v>994</v>
      </c>
      <c r="G13" s="79" t="s">
        <v>989</v>
      </c>
      <c r="H13" s="80"/>
    </row>
    <row r="14" spans="1:9" ht="15" customHeight="1" x14ac:dyDescent="0.2">
      <c r="A14" s="82"/>
      <c r="B14" s="77"/>
      <c r="C14" s="77"/>
      <c r="D14" s="77" t="s">
        <v>995</v>
      </c>
      <c r="E14" s="77" t="s">
        <v>996</v>
      </c>
      <c r="G14" s="79" t="s">
        <v>997</v>
      </c>
      <c r="H14" s="80"/>
    </row>
    <row r="15" spans="1:9" ht="15" customHeight="1" x14ac:dyDescent="0.2">
      <c r="A15" s="92" t="s">
        <v>41</v>
      </c>
      <c r="B15" s="77"/>
      <c r="C15" s="77"/>
      <c r="D15" s="77"/>
      <c r="E15" s="77" t="s">
        <v>998</v>
      </c>
      <c r="F15" s="79"/>
      <c r="G15" s="77"/>
      <c r="H15" s="80"/>
    </row>
    <row r="16" spans="1:9" ht="15" customHeight="1" x14ac:dyDescent="0.2">
      <c r="A16" s="93" t="s">
        <v>43</v>
      </c>
      <c r="B16" s="77" t="s">
        <v>999</v>
      </c>
      <c r="C16" s="77"/>
      <c r="D16" s="77"/>
      <c r="F16" s="79"/>
      <c r="G16" s="77"/>
      <c r="H16" s="80"/>
    </row>
    <row r="17" spans="1:9" x14ac:dyDescent="0.2">
      <c r="A17" s="82"/>
      <c r="B17" s="83"/>
      <c r="C17" s="83"/>
      <c r="D17" s="83"/>
      <c r="E17" s="83"/>
      <c r="F17" s="85"/>
      <c r="G17" s="83"/>
      <c r="H17" s="86"/>
    </row>
    <row r="18" spans="1:9" ht="13.5" thickBot="1" x14ac:dyDescent="0.25">
      <c r="A18" s="87" t="s">
        <v>20</v>
      </c>
      <c r="B18" s="88" t="s">
        <v>224</v>
      </c>
      <c r="C18" s="88" t="s">
        <v>224</v>
      </c>
      <c r="D18" s="88" t="s">
        <v>446</v>
      </c>
      <c r="E18" s="88" t="s">
        <v>224</v>
      </c>
      <c r="F18" s="88" t="s">
        <v>606</v>
      </c>
      <c r="G18" s="88" t="s">
        <v>153</v>
      </c>
      <c r="H18" s="91"/>
    </row>
    <row r="19" spans="1:9" ht="13.5" thickTop="1" x14ac:dyDescent="0.2">
      <c r="A19" s="82"/>
      <c r="B19" s="127" t="s">
        <v>1000</v>
      </c>
      <c r="C19" s="127" t="s">
        <v>473</v>
      </c>
      <c r="D19" s="77" t="s">
        <v>1001</v>
      </c>
      <c r="E19" s="127" t="s">
        <v>1002</v>
      </c>
      <c r="F19" s="79" t="s">
        <v>1003</v>
      </c>
      <c r="G19" s="77"/>
      <c r="H19" s="80"/>
    </row>
    <row r="20" spans="1:9" x14ac:dyDescent="0.2">
      <c r="A20" s="82"/>
      <c r="B20" s="127" t="s">
        <v>1004</v>
      </c>
      <c r="C20" s="77"/>
      <c r="D20" s="77" t="s">
        <v>1005</v>
      </c>
      <c r="E20" s="79" t="s">
        <v>1006</v>
      </c>
      <c r="F20" s="79" t="s">
        <v>56</v>
      </c>
      <c r="G20" s="77"/>
      <c r="H20" s="80"/>
    </row>
    <row r="21" spans="1:9" x14ac:dyDescent="0.2">
      <c r="A21" s="92" t="s">
        <v>593</v>
      </c>
      <c r="B21" s="127" t="s">
        <v>1007</v>
      </c>
      <c r="C21" s="77"/>
      <c r="D21" s="77"/>
      <c r="E21" s="77" t="s">
        <v>1008</v>
      </c>
      <c r="F21" s="79"/>
      <c r="G21" s="77"/>
      <c r="H21" s="80"/>
    </row>
    <row r="22" spans="1:9" x14ac:dyDescent="0.2">
      <c r="A22" s="93">
        <v>601</v>
      </c>
      <c r="B22" s="77"/>
      <c r="C22" s="77"/>
      <c r="D22" s="77"/>
      <c r="E22" s="77"/>
      <c r="F22" s="79"/>
      <c r="G22" s="77"/>
      <c r="H22" s="80"/>
    </row>
    <row r="23" spans="1:9" x14ac:dyDescent="0.2">
      <c r="A23" s="82"/>
      <c r="B23" s="77"/>
      <c r="C23" s="77"/>
      <c r="D23" s="77"/>
      <c r="E23" s="77"/>
      <c r="F23" s="79"/>
      <c r="G23" s="77"/>
      <c r="H23" s="80"/>
    </row>
    <row r="24" spans="1:9" x14ac:dyDescent="0.2">
      <c r="A24" s="82"/>
      <c r="B24" s="83"/>
      <c r="C24" s="83"/>
      <c r="D24" s="83"/>
      <c r="E24" s="83"/>
      <c r="F24" s="85"/>
      <c r="G24" s="83"/>
      <c r="H24" s="86"/>
    </row>
    <row r="25" spans="1:9" ht="13.5" thickBot="1" x14ac:dyDescent="0.25">
      <c r="A25" s="87" t="s">
        <v>20</v>
      </c>
      <c r="B25" s="88" t="s">
        <v>622</v>
      </c>
      <c r="C25" s="88" t="s">
        <v>622</v>
      </c>
      <c r="D25" s="88" t="s">
        <v>622</v>
      </c>
      <c r="E25" s="88" t="s">
        <v>622</v>
      </c>
      <c r="F25" s="240" t="s">
        <v>622</v>
      </c>
      <c r="G25" s="88"/>
      <c r="H25" s="91"/>
      <c r="I25" s="277">
        <v>1</v>
      </c>
    </row>
    <row r="26" spans="1:9" ht="13.5" thickTop="1" x14ac:dyDescent="0.2">
      <c r="A26" s="76"/>
      <c r="B26" s="127" t="s">
        <v>1009</v>
      </c>
      <c r="C26" s="77" t="s">
        <v>1010</v>
      </c>
      <c r="D26" s="127" t="s">
        <v>1011</v>
      </c>
      <c r="E26" s="127" t="s">
        <v>1012</v>
      </c>
      <c r="F26" s="129" t="s">
        <v>942</v>
      </c>
      <c r="G26" s="77" t="s">
        <v>989</v>
      </c>
      <c r="H26" s="80"/>
    </row>
    <row r="27" spans="1:9" x14ac:dyDescent="0.2">
      <c r="A27" s="82"/>
      <c r="B27" s="77"/>
      <c r="C27" s="127" t="s">
        <v>1013</v>
      </c>
      <c r="D27" s="77"/>
      <c r="E27" s="127" t="s">
        <v>1014</v>
      </c>
      <c r="F27" s="79" t="s">
        <v>989</v>
      </c>
      <c r="G27" s="77" t="s">
        <v>1015</v>
      </c>
      <c r="H27" s="80"/>
    </row>
    <row r="28" spans="1:9" x14ac:dyDescent="0.2">
      <c r="A28" s="92" t="s">
        <v>593</v>
      </c>
      <c r="B28" s="77"/>
      <c r="C28" s="77"/>
      <c r="D28" s="77"/>
      <c r="E28" s="127" t="s">
        <v>1016</v>
      </c>
      <c r="F28" s="79" t="s">
        <v>1017</v>
      </c>
      <c r="G28" s="77"/>
      <c r="H28" s="80"/>
    </row>
    <row r="29" spans="1:9" x14ac:dyDescent="0.2">
      <c r="A29" s="93">
        <v>602</v>
      </c>
      <c r="B29" s="77"/>
      <c r="C29" s="77"/>
      <c r="D29" s="77"/>
      <c r="E29" s="77"/>
      <c r="F29" s="79"/>
      <c r="G29" s="77"/>
      <c r="H29" s="80"/>
    </row>
    <row r="30" spans="1:9" x14ac:dyDescent="0.2">
      <c r="A30" s="92"/>
      <c r="B30" s="77"/>
      <c r="C30" s="77"/>
      <c r="D30" s="77"/>
      <c r="E30" s="77"/>
      <c r="F30" s="79"/>
      <c r="G30" s="77"/>
      <c r="H30" s="80"/>
    </row>
    <row r="31" spans="1:9" x14ac:dyDescent="0.2">
      <c r="A31" s="92"/>
      <c r="B31" s="94"/>
      <c r="C31" s="94"/>
      <c r="D31" s="94"/>
      <c r="E31" s="94"/>
      <c r="F31" s="96"/>
      <c r="G31" s="94"/>
      <c r="H31" s="97"/>
    </row>
    <row r="32" spans="1:9" ht="13.5" thickBot="1" x14ac:dyDescent="0.25">
      <c r="A32" s="87" t="s">
        <v>20</v>
      </c>
      <c r="B32" s="88" t="s">
        <v>138</v>
      </c>
      <c r="C32" s="88" t="s">
        <v>138</v>
      </c>
      <c r="D32" s="88" t="s">
        <v>45</v>
      </c>
      <c r="E32" s="88" t="s">
        <v>138</v>
      </c>
      <c r="F32" s="90" t="s">
        <v>138</v>
      </c>
      <c r="G32" s="88" t="s">
        <v>138</v>
      </c>
      <c r="H32" s="91"/>
    </row>
    <row r="33" spans="1:9" ht="13.5" thickTop="1" x14ac:dyDescent="0.2">
      <c r="A33" s="76"/>
      <c r="B33" s="77"/>
      <c r="C33" s="77"/>
      <c r="D33" s="77"/>
      <c r="E33" s="77"/>
      <c r="F33" s="79"/>
      <c r="G33" s="77"/>
      <c r="H33" s="80"/>
    </row>
    <row r="34" spans="1:9" x14ac:dyDescent="0.2">
      <c r="A34" s="98"/>
      <c r="B34" s="99"/>
      <c r="C34" s="77"/>
      <c r="D34" s="77"/>
      <c r="E34" s="77"/>
      <c r="F34" s="79"/>
      <c r="G34" s="77"/>
      <c r="H34" s="80"/>
    </row>
    <row r="35" spans="1:9" x14ac:dyDescent="0.2">
      <c r="A35" s="92" t="s">
        <v>279</v>
      </c>
      <c r="B35" s="77"/>
      <c r="C35" s="77"/>
      <c r="D35" s="77"/>
      <c r="E35" s="77"/>
      <c r="F35" s="79"/>
      <c r="G35" s="77"/>
      <c r="H35" s="80"/>
    </row>
    <row r="36" spans="1:9" x14ac:dyDescent="0.2">
      <c r="A36" s="93" t="s">
        <v>67</v>
      </c>
      <c r="B36" s="77"/>
      <c r="C36" s="77"/>
      <c r="D36" s="77"/>
      <c r="E36" s="77"/>
      <c r="F36" s="79"/>
      <c r="G36" s="77"/>
      <c r="H36" s="80"/>
    </row>
    <row r="37" spans="1:9" x14ac:dyDescent="0.2">
      <c r="A37" s="92"/>
      <c r="B37" s="83"/>
      <c r="C37" s="83"/>
      <c r="D37" s="83"/>
      <c r="E37" s="83"/>
      <c r="F37" s="85"/>
      <c r="G37" s="83"/>
      <c r="H37" s="86"/>
    </row>
    <row r="38" spans="1:9" ht="13.5" thickBot="1" x14ac:dyDescent="0.25">
      <c r="A38" s="87" t="s">
        <v>20</v>
      </c>
      <c r="B38" s="88"/>
      <c r="C38" s="88"/>
      <c r="D38" s="88"/>
      <c r="E38" s="88"/>
      <c r="F38" s="90"/>
      <c r="G38" s="88"/>
      <c r="H38" s="91"/>
    </row>
    <row r="39" spans="1:9" ht="13.5" thickTop="1" x14ac:dyDescent="0.2">
      <c r="A39" s="76"/>
      <c r="B39" s="100"/>
      <c r="C39" s="100"/>
      <c r="D39" s="100"/>
      <c r="E39" s="100"/>
      <c r="F39" s="102"/>
      <c r="G39" s="100"/>
      <c r="H39" s="103"/>
    </row>
    <row r="40" spans="1:9" x14ac:dyDescent="0.2">
      <c r="A40" s="92" t="s">
        <v>71</v>
      </c>
      <c r="B40" s="100"/>
      <c r="C40" s="100"/>
      <c r="D40" s="100"/>
      <c r="E40" s="100"/>
      <c r="F40" s="102"/>
      <c r="G40" s="100"/>
      <c r="H40" s="103"/>
    </row>
    <row r="41" spans="1:9" x14ac:dyDescent="0.2">
      <c r="A41" s="93" t="s">
        <v>72</v>
      </c>
      <c r="B41" s="104"/>
      <c r="C41" s="104"/>
      <c r="D41" s="104"/>
      <c r="E41" s="104"/>
      <c r="F41" s="106"/>
      <c r="G41" s="104"/>
      <c r="H41" s="107"/>
    </row>
    <row r="42" spans="1:9" ht="13.5" thickBot="1" x14ac:dyDescent="0.25">
      <c r="A42" s="87" t="s">
        <v>20</v>
      </c>
      <c r="B42" s="108"/>
      <c r="C42" s="108"/>
      <c r="D42" s="108"/>
      <c r="E42" s="108"/>
      <c r="F42" s="110"/>
      <c r="G42" s="108"/>
      <c r="H42" s="111"/>
    </row>
    <row r="43" spans="1:9" ht="13.5" thickTop="1" x14ac:dyDescent="0.2">
      <c r="A43" s="112" t="s">
        <v>280</v>
      </c>
      <c r="B43" s="113"/>
      <c r="C43" s="113"/>
      <c r="D43" s="113"/>
      <c r="E43" s="113"/>
      <c r="F43" s="113" t="s">
        <v>154</v>
      </c>
      <c r="G43" s="113" t="s">
        <v>73</v>
      </c>
      <c r="H43" s="113"/>
    </row>
    <row r="44" spans="1:9" x14ac:dyDescent="0.2">
      <c r="A44" s="114" t="s">
        <v>282</v>
      </c>
      <c r="B44" s="113"/>
      <c r="C44" s="113"/>
      <c r="D44" s="113"/>
      <c r="E44" s="113"/>
      <c r="F44" s="113" t="s">
        <v>73</v>
      </c>
      <c r="G44" s="113" t="s">
        <v>52</v>
      </c>
      <c r="H44" s="113"/>
    </row>
    <row r="45" spans="1:9" x14ac:dyDescent="0.2">
      <c r="A45" s="163" t="s">
        <v>394</v>
      </c>
      <c r="B45" s="164"/>
      <c r="C45" s="164"/>
      <c r="D45" s="164"/>
      <c r="E45" s="164"/>
      <c r="F45" s="164"/>
      <c r="G45" s="113" t="s">
        <v>662</v>
      </c>
      <c r="H45" s="113"/>
    </row>
    <row r="46" spans="1:9" ht="13.5" thickBot="1" x14ac:dyDescent="0.25">
      <c r="A46" s="279" t="s">
        <v>75</v>
      </c>
      <c r="B46" s="273" t="s">
        <v>76</v>
      </c>
      <c r="C46" s="113"/>
      <c r="D46" s="113"/>
      <c r="E46" s="113"/>
      <c r="F46" s="113"/>
      <c r="G46" s="113"/>
      <c r="H46" s="285" t="s">
        <v>463</v>
      </c>
      <c r="I46" s="286">
        <f>SUM(I2:I45)</f>
        <v>7</v>
      </c>
    </row>
    <row r="47" spans="1:9" ht="13.5" thickTop="1" x14ac:dyDescent="0.2">
      <c r="A47" s="115"/>
      <c r="B47" s="113"/>
      <c r="C47" s="113"/>
      <c r="D47" s="113"/>
      <c r="E47" s="113"/>
      <c r="F47" s="113"/>
      <c r="G47" s="113"/>
      <c r="H47" s="113"/>
    </row>
    <row r="48" spans="1:9" x14ac:dyDescent="0.2">
      <c r="A48" s="115"/>
      <c r="B48" s="116"/>
      <c r="C48" s="116"/>
      <c r="D48" s="116"/>
      <c r="E48" s="116"/>
      <c r="F48" s="116"/>
      <c r="G48" s="116"/>
      <c r="H48" s="116"/>
    </row>
    <row r="49" spans="1:8" x14ac:dyDescent="0.2">
      <c r="A49" s="117"/>
      <c r="B49" s="116"/>
      <c r="C49" s="116"/>
      <c r="D49" s="116"/>
      <c r="E49" s="116"/>
      <c r="F49" s="116"/>
      <c r="G49" s="116"/>
      <c r="H49" s="116"/>
    </row>
    <row r="50" spans="1:8" x14ac:dyDescent="0.2">
      <c r="A50" s="117"/>
      <c r="B50" s="116"/>
      <c r="C50" s="116"/>
      <c r="D50" s="116"/>
      <c r="E50" s="116"/>
      <c r="F50" s="116"/>
      <c r="G50" s="116"/>
      <c r="H50" s="116"/>
    </row>
    <row r="51" spans="1:8" x14ac:dyDescent="0.2">
      <c r="A51" s="115"/>
      <c r="B51" s="118"/>
      <c r="C51" s="118"/>
      <c r="D51" s="118"/>
      <c r="E51" s="118"/>
      <c r="F51" s="118"/>
      <c r="G51" s="118"/>
      <c r="H51" s="118"/>
    </row>
    <row r="52" spans="1:8" x14ac:dyDescent="0.2">
      <c r="A52" s="115"/>
      <c r="B52" s="118"/>
      <c r="C52" s="118"/>
      <c r="D52" s="118"/>
      <c r="E52" s="118"/>
      <c r="F52" s="118"/>
      <c r="G52" s="118"/>
      <c r="H52" s="118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7"/>
      <c r="B58" s="118"/>
      <c r="C58" s="118"/>
      <c r="D58" s="118"/>
      <c r="E58" s="118"/>
      <c r="F58" s="118"/>
      <c r="G58" s="118"/>
      <c r="H58" s="118"/>
    </row>
    <row r="59" spans="1:8" x14ac:dyDescent="0.2">
      <c r="A59" s="117"/>
      <c r="B59" s="118"/>
      <c r="C59" s="118"/>
      <c r="D59" s="118"/>
      <c r="E59" s="118"/>
      <c r="F59" s="118"/>
      <c r="G59" s="118"/>
      <c r="H59" s="118"/>
    </row>
    <row r="60" spans="1:8" x14ac:dyDescent="0.2">
      <c r="A60" s="115"/>
      <c r="B60" s="118"/>
      <c r="C60" s="118"/>
      <c r="D60" s="118"/>
      <c r="E60" s="118"/>
      <c r="F60" s="118"/>
      <c r="G60" s="118"/>
      <c r="H60" s="118"/>
    </row>
    <row r="61" spans="1:8" x14ac:dyDescent="0.2">
      <c r="A61" s="115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G18" sqref="G18"/>
      <pageMargins left="0" right="0" top="0" bottom="0" header="0" footer="0"/>
      <printOptions gridLines="1"/>
      <pageSetup paperSize="8" scale="95" orientation="landscape" r:id="rId1"/>
      <headerFooter alignWithMargins="0">
        <oddHeader>&amp;C2019.08.05-11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M20" sqref="M20"/>
      <pageMargins left="0" right="0" top="0" bottom="0" header="0" footer="0"/>
      <printOptions gridLines="1"/>
      <pageSetup paperSize="8" scale="95" orientation="landscape" r:id="rId2"/>
      <headerFooter alignWithMargins="0">
        <oddHeader>&amp;C2019.08.05-11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3"/>
      <headerFooter alignWithMargins="0">
        <oddHeader>&amp;C2019.08.05-11</oddHeader>
      </headerFooter>
    </customSheetView>
    <customSheetView guid="{4B58F0A9-071E-4376-B7AD-463366669E19}" scale="80">
      <pane ySplit="1" topLeftCell="A2" activePane="bottomLeft" state="frozen"/>
      <selection pane="bottomLeft" activeCell="B24" sqref="B24"/>
      <pageMargins left="0" right="0" top="0" bottom="0" header="0" footer="0"/>
      <printOptions gridLines="1"/>
      <pageSetup paperSize="9" scale="75" orientation="landscape" r:id="rId4"/>
      <headerFooter alignWithMargins="0">
        <oddHeader>&amp;C2019.08.05-11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&amp;C2019.08.05-11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D14" sqref="D14"/>
      <pageMargins left="0" right="0" top="0" bottom="0" header="0" footer="0"/>
      <printOptions gridLines="1"/>
      <pageSetup paperSize="8" scale="95" orientation="landscape" r:id="rId6"/>
      <headerFooter alignWithMargins="0">
        <oddHeader>&amp;C2019.08.05-11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E20" sqref="E20"/>
      <pageMargins left="0" right="0" top="0" bottom="0" header="0" footer="0"/>
      <printOptions gridLines="1"/>
      <pageSetup paperSize="9" scale="75" orientation="landscape" r:id="rId7"/>
      <headerFooter alignWithMargins="0">
        <oddHeader>&amp;C2019.08.05-11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8"/>
      <headerFooter alignWithMargins="0">
        <oddHeader>&amp;C2019.08.05-11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A21" sqref="A21:A22"/>
      <pageMargins left="0" right="0" top="0" bottom="0" header="0" footer="0"/>
      <printOptions gridLines="1"/>
      <pageSetup paperSize="9" scale="75" orientation="landscape" r:id="rId9"/>
      <headerFooter alignWithMargins="0">
        <oddHeader>&amp;C2019.08.05-11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I24" sqref="I24"/>
      <pageMargins left="0" right="0" top="0" bottom="0" header="0" footer="0"/>
      <printOptions gridLines="1"/>
      <pageSetup paperSize="8" scale="95" orientation="landscape" r:id="rId10"/>
      <headerFooter alignWithMargins="0">
        <oddHeader>&amp;C2019.08.05-11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1"/>
      <headerFooter alignWithMargins="0">
        <oddHeader>&amp;C2019.08.05-11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A21" sqref="A21:A22"/>
      <pageMargins left="0" right="0" top="0" bottom="0" header="0" footer="0"/>
      <printOptions gridLines="1"/>
      <pageSetup paperSize="9" scale="75" orientation="landscape" r:id="rId12"/>
      <headerFooter alignWithMargins="0">
        <oddHeader>&amp;C2019.08.05-11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9" scale="75" orientation="landscape" r:id="rId13"/>
  <headerFooter alignWithMargins="0">
    <oddHeader>&amp;C2019.08.05-11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Munka20"/>
  <dimension ref="A1:I140"/>
  <sheetViews>
    <sheetView zoomScale="80" zoomScaleNormal="80" zoomScaleSheetLayoutView="40" workbookViewId="0">
      <pane ySplit="1" topLeftCell="A2" activePane="bottomLeft" state="frozen"/>
      <selection pane="bottomLeft" activeCell="I39" sqref="I39"/>
    </sheetView>
  </sheetViews>
  <sheetFormatPr defaultColWidth="9.140625" defaultRowHeight="12.75" x14ac:dyDescent="0.2"/>
  <cols>
    <col min="1" max="1" width="10.7109375" style="119" customWidth="1"/>
    <col min="2" max="6" width="30.7109375" style="69" customWidth="1"/>
    <col min="7" max="8" width="15.5703125" style="69" customWidth="1"/>
    <col min="9" max="9" width="10" style="69" customWidth="1"/>
    <col min="10" max="16384" width="9.140625" style="69"/>
  </cols>
  <sheetData>
    <row r="1" spans="1:9" ht="28.5" customHeight="1" thickTop="1" thickBot="1" x14ac:dyDescent="0.25">
      <c r="A1" s="64" t="s">
        <v>1018</v>
      </c>
      <c r="B1" s="65" t="s">
        <v>1019</v>
      </c>
      <c r="C1" s="65" t="s">
        <v>1020</v>
      </c>
      <c r="D1" s="65" t="s">
        <v>1021</v>
      </c>
      <c r="E1" s="65" t="s">
        <v>1022</v>
      </c>
      <c r="F1" s="65" t="s">
        <v>1023</v>
      </c>
      <c r="G1" s="67" t="s">
        <v>1024</v>
      </c>
      <c r="H1" s="67" t="s">
        <v>1025</v>
      </c>
      <c r="I1" s="68"/>
    </row>
    <row r="2" spans="1:9" ht="15" customHeight="1" x14ac:dyDescent="0.2">
      <c r="A2" s="70"/>
      <c r="B2" s="71"/>
      <c r="C2" s="71"/>
      <c r="D2" s="71"/>
      <c r="E2" s="71"/>
      <c r="F2" s="73"/>
      <c r="G2" s="74"/>
      <c r="H2" s="74"/>
      <c r="I2" s="75"/>
    </row>
    <row r="3" spans="1:9" ht="15" customHeight="1" x14ac:dyDescent="0.2">
      <c r="A3" s="76"/>
      <c r="B3" s="77"/>
      <c r="C3" s="77"/>
      <c r="D3" s="77"/>
      <c r="E3" s="77"/>
      <c r="F3" s="79"/>
      <c r="G3" s="80"/>
      <c r="H3" s="80"/>
      <c r="I3" s="75"/>
    </row>
    <row r="4" spans="1:9" ht="15" customHeight="1" x14ac:dyDescent="0.2">
      <c r="A4" s="76" t="s">
        <v>18</v>
      </c>
      <c r="B4" s="77"/>
      <c r="C4" s="77"/>
      <c r="D4" s="77"/>
      <c r="E4" s="77"/>
      <c r="F4" s="79"/>
      <c r="G4" s="80"/>
      <c r="H4" s="80"/>
    </row>
    <row r="5" spans="1:9" ht="15" customHeight="1" x14ac:dyDescent="0.2">
      <c r="A5" s="81" t="s">
        <v>19</v>
      </c>
      <c r="B5" s="77"/>
      <c r="C5" s="77"/>
      <c r="D5" s="77"/>
      <c r="E5" s="77"/>
      <c r="F5" s="79"/>
      <c r="G5" s="80"/>
      <c r="H5" s="80"/>
    </row>
    <row r="6" spans="1:9" ht="15" customHeight="1" x14ac:dyDescent="0.2">
      <c r="A6" s="82"/>
      <c r="B6" s="83"/>
      <c r="C6" s="83"/>
      <c r="D6" s="83"/>
      <c r="E6" s="83"/>
      <c r="F6" s="85"/>
      <c r="G6" s="86"/>
      <c r="H6" s="86"/>
    </row>
    <row r="7" spans="1:9" ht="15" customHeight="1" thickBot="1" x14ac:dyDescent="0.25">
      <c r="A7" s="87" t="s">
        <v>20</v>
      </c>
      <c r="B7" s="88"/>
      <c r="C7" s="88"/>
      <c r="D7" s="88"/>
      <c r="E7" s="88"/>
      <c r="F7" s="90"/>
      <c r="G7" s="91"/>
      <c r="H7" s="91"/>
    </row>
    <row r="8" spans="1:9" ht="15" customHeight="1" thickTop="1" x14ac:dyDescent="0.2">
      <c r="A8" s="82"/>
      <c r="B8" s="127" t="s">
        <v>1026</v>
      </c>
      <c r="C8" s="77" t="s">
        <v>1027</v>
      </c>
      <c r="D8" s="77" t="s">
        <v>1028</v>
      </c>
      <c r="E8" s="127" t="s">
        <v>1029</v>
      </c>
      <c r="F8" s="129" t="s">
        <v>1030</v>
      </c>
      <c r="G8" s="80"/>
      <c r="H8" s="80"/>
    </row>
    <row r="9" spans="1:9" ht="15" customHeight="1" x14ac:dyDescent="0.2">
      <c r="A9" s="82"/>
      <c r="B9" s="127" t="s">
        <v>1031</v>
      </c>
      <c r="C9" s="77"/>
      <c r="D9" s="77" t="s">
        <v>1032</v>
      </c>
      <c r="E9" s="77"/>
      <c r="F9" s="79" t="s">
        <v>1033</v>
      </c>
      <c r="G9" s="80"/>
      <c r="H9" s="80"/>
    </row>
    <row r="10" spans="1:9" ht="15" customHeight="1" x14ac:dyDescent="0.2">
      <c r="A10" s="92" t="s">
        <v>18</v>
      </c>
      <c r="B10" s="77"/>
      <c r="C10" s="77"/>
      <c r="D10" s="77"/>
      <c r="E10" s="77"/>
      <c r="F10" s="79"/>
      <c r="G10" s="80"/>
      <c r="H10" s="80"/>
    </row>
    <row r="11" spans="1:9" ht="15" customHeight="1" x14ac:dyDescent="0.2">
      <c r="A11" s="93" t="s">
        <v>30</v>
      </c>
      <c r="B11" s="77"/>
      <c r="C11" s="77"/>
      <c r="D11" s="77"/>
      <c r="E11" s="77"/>
      <c r="F11" s="79"/>
      <c r="G11" s="80"/>
      <c r="H11" s="80"/>
    </row>
    <row r="12" spans="1:9" ht="15" customHeight="1" x14ac:dyDescent="0.2">
      <c r="A12" s="82"/>
      <c r="B12" s="77"/>
      <c r="C12" s="77"/>
      <c r="D12" s="77"/>
      <c r="E12" s="77"/>
      <c r="F12" s="79"/>
      <c r="G12" s="80"/>
      <c r="H12" s="80"/>
    </row>
    <row r="13" spans="1:9" ht="15" customHeight="1" x14ac:dyDescent="0.2">
      <c r="A13" s="82"/>
      <c r="B13" s="83"/>
      <c r="C13" s="83"/>
      <c r="D13" s="83"/>
      <c r="E13" s="83"/>
      <c r="F13" s="85"/>
      <c r="G13" s="86"/>
      <c r="H13" s="86"/>
    </row>
    <row r="14" spans="1:9" ht="15" customHeight="1" thickBot="1" x14ac:dyDescent="0.25">
      <c r="A14" s="87" t="s">
        <v>20</v>
      </c>
      <c r="B14" s="273" t="s">
        <v>183</v>
      </c>
      <c r="C14" s="88" t="s">
        <v>183</v>
      </c>
      <c r="D14" s="88" t="s">
        <v>183</v>
      </c>
      <c r="E14" s="88" t="s">
        <v>183</v>
      </c>
      <c r="F14" s="88" t="s">
        <v>183</v>
      </c>
      <c r="G14" s="91"/>
      <c r="H14" s="91"/>
      <c r="I14" s="277">
        <f>+'08.05-08.11'!I12+1</f>
        <v>7</v>
      </c>
    </row>
    <row r="15" spans="1:9" ht="15" customHeight="1" thickTop="1" x14ac:dyDescent="0.2">
      <c r="A15" s="82"/>
      <c r="B15" s="77" t="s">
        <v>1034</v>
      </c>
      <c r="C15" s="77" t="s">
        <v>765</v>
      </c>
      <c r="D15" s="77" t="s">
        <v>1035</v>
      </c>
      <c r="E15" s="77" t="s">
        <v>1036</v>
      </c>
      <c r="F15" s="79"/>
      <c r="G15" s="80"/>
      <c r="H15" s="80"/>
    </row>
    <row r="16" spans="1:9" ht="15" customHeight="1" x14ac:dyDescent="0.2">
      <c r="A16" s="82"/>
      <c r="B16" s="77" t="s">
        <v>1037</v>
      </c>
      <c r="C16" s="77" t="s">
        <v>1038</v>
      </c>
      <c r="D16" s="77" t="s">
        <v>1039</v>
      </c>
      <c r="E16" s="77" t="s">
        <v>1040</v>
      </c>
      <c r="F16" s="79"/>
      <c r="G16" s="80"/>
      <c r="H16" s="80"/>
    </row>
    <row r="17" spans="1:9" ht="15" customHeight="1" x14ac:dyDescent="0.2">
      <c r="A17" s="92" t="s">
        <v>41</v>
      </c>
      <c r="B17" s="77" t="s">
        <v>1038</v>
      </c>
      <c r="C17" s="77"/>
      <c r="D17" s="77" t="s">
        <v>1041</v>
      </c>
      <c r="E17" s="77"/>
      <c r="F17" s="79"/>
      <c r="G17" s="80"/>
      <c r="H17" s="80"/>
    </row>
    <row r="18" spans="1:9" ht="15" customHeight="1" x14ac:dyDescent="0.2">
      <c r="A18" s="93" t="s">
        <v>43</v>
      </c>
      <c r="B18" s="77"/>
      <c r="C18" s="77"/>
      <c r="D18" s="77" t="s">
        <v>854</v>
      </c>
      <c r="E18" s="77"/>
      <c r="F18" s="79"/>
      <c r="G18" s="80"/>
      <c r="H18" s="80"/>
    </row>
    <row r="19" spans="1:9" x14ac:dyDescent="0.2">
      <c r="A19" s="82"/>
      <c r="B19" s="83"/>
      <c r="C19" s="83"/>
      <c r="D19" s="83"/>
      <c r="E19" s="83"/>
      <c r="F19" s="85"/>
      <c r="G19" s="86"/>
      <c r="H19" s="86"/>
    </row>
    <row r="20" spans="1:9" ht="13.5" thickBot="1" x14ac:dyDescent="0.25">
      <c r="A20" s="87" t="s">
        <v>20</v>
      </c>
      <c r="B20" s="88" t="s">
        <v>446</v>
      </c>
      <c r="C20" s="88" t="s">
        <v>446</v>
      </c>
      <c r="D20" s="88" t="s">
        <v>446</v>
      </c>
      <c r="E20" s="88" t="s">
        <v>446</v>
      </c>
      <c r="F20" s="90"/>
      <c r="G20" s="91"/>
      <c r="H20" s="91"/>
    </row>
    <row r="21" spans="1:9" ht="13.5" thickTop="1" x14ac:dyDescent="0.2">
      <c r="A21" s="82"/>
      <c r="B21" s="77" t="s">
        <v>1042</v>
      </c>
      <c r="C21" s="77"/>
      <c r="D21" s="77"/>
      <c r="E21" s="77"/>
      <c r="F21" s="129" t="s">
        <v>1043</v>
      </c>
      <c r="G21" s="80"/>
      <c r="H21" s="80"/>
    </row>
    <row r="22" spans="1:9" x14ac:dyDescent="0.2">
      <c r="A22" s="82"/>
      <c r="B22" s="77" t="s">
        <v>1038</v>
      </c>
      <c r="C22" s="77"/>
      <c r="D22" s="77"/>
      <c r="E22" s="77"/>
      <c r="F22" s="79"/>
      <c r="G22" s="80"/>
      <c r="H22" s="80"/>
    </row>
    <row r="23" spans="1:9" x14ac:dyDescent="0.2">
      <c r="A23" s="92" t="s">
        <v>593</v>
      </c>
      <c r="B23" s="77"/>
      <c r="C23" s="77"/>
      <c r="D23" s="77"/>
      <c r="E23" s="77"/>
      <c r="F23" s="79"/>
      <c r="G23" s="80"/>
      <c r="H23" s="80"/>
    </row>
    <row r="24" spans="1:9" x14ac:dyDescent="0.2">
      <c r="A24" s="93">
        <v>601</v>
      </c>
      <c r="B24" s="77"/>
      <c r="C24" s="77"/>
      <c r="D24" s="77"/>
      <c r="E24" s="77"/>
      <c r="F24" s="79"/>
      <c r="G24" s="80"/>
      <c r="H24" s="80"/>
    </row>
    <row r="25" spans="1:9" x14ac:dyDescent="0.2">
      <c r="A25" s="82"/>
      <c r="B25" s="77"/>
      <c r="C25" s="77"/>
      <c r="D25" s="77"/>
      <c r="E25" s="77"/>
      <c r="F25" s="79"/>
      <c r="G25" s="80"/>
      <c r="H25" s="80"/>
    </row>
    <row r="26" spans="1:9" x14ac:dyDescent="0.2">
      <c r="A26" s="82"/>
      <c r="B26" s="83"/>
      <c r="C26" s="83"/>
      <c r="D26" s="83"/>
      <c r="E26" s="83"/>
      <c r="F26" s="85"/>
      <c r="G26" s="86"/>
      <c r="H26" s="86"/>
    </row>
    <row r="27" spans="1:9" ht="13.5" thickBot="1" x14ac:dyDescent="0.25">
      <c r="A27" s="87" t="s">
        <v>20</v>
      </c>
      <c r="B27" s="88" t="s">
        <v>738</v>
      </c>
      <c r="C27" s="88"/>
      <c r="D27" s="88"/>
      <c r="E27" s="88"/>
      <c r="F27" s="88" t="s">
        <v>446</v>
      </c>
      <c r="G27" s="91"/>
      <c r="H27" s="91"/>
      <c r="I27" s="277">
        <f>+'08.05-08.11'!I25</f>
        <v>1</v>
      </c>
    </row>
    <row r="28" spans="1:9" ht="13.5" thickTop="1" x14ac:dyDescent="0.2">
      <c r="A28" s="76"/>
      <c r="B28" s="77"/>
      <c r="C28" s="77" t="s">
        <v>1044</v>
      </c>
      <c r="D28" s="77" t="s">
        <v>1045</v>
      </c>
      <c r="E28" s="127" t="s">
        <v>1046</v>
      </c>
      <c r="F28" s="79" t="s">
        <v>1047</v>
      </c>
      <c r="G28" s="80"/>
      <c r="H28" s="80"/>
    </row>
    <row r="29" spans="1:9" x14ac:dyDescent="0.2">
      <c r="A29" s="82"/>
      <c r="B29" s="77"/>
      <c r="C29" s="77" t="s">
        <v>1038</v>
      </c>
      <c r="D29" s="77" t="s">
        <v>1048</v>
      </c>
      <c r="E29" s="77" t="s">
        <v>1038</v>
      </c>
      <c r="F29" s="79"/>
      <c r="G29" s="80"/>
      <c r="H29" s="80"/>
    </row>
    <row r="30" spans="1:9" x14ac:dyDescent="0.2">
      <c r="A30" s="92" t="s">
        <v>593</v>
      </c>
      <c r="B30" s="77"/>
      <c r="C30" s="127" t="s">
        <v>1049</v>
      </c>
      <c r="D30" s="77" t="s">
        <v>1050</v>
      </c>
      <c r="E30" s="77"/>
      <c r="F30" s="79"/>
      <c r="G30" s="80"/>
      <c r="H30" s="80"/>
    </row>
    <row r="31" spans="1:9" x14ac:dyDescent="0.2">
      <c r="A31" s="93">
        <v>602</v>
      </c>
      <c r="B31" s="77"/>
      <c r="C31" s="77"/>
      <c r="D31" s="77" t="s">
        <v>1051</v>
      </c>
      <c r="E31" s="77"/>
      <c r="F31" s="79"/>
      <c r="G31" s="80"/>
      <c r="H31" s="80"/>
    </row>
    <row r="32" spans="1:9" x14ac:dyDescent="0.2">
      <c r="A32" s="92"/>
      <c r="B32" s="77"/>
      <c r="C32" s="77"/>
      <c r="D32" s="77" t="s">
        <v>1052</v>
      </c>
      <c r="E32" s="77"/>
      <c r="F32" s="79"/>
      <c r="G32" s="80"/>
      <c r="H32" s="80"/>
    </row>
    <row r="33" spans="1:9" x14ac:dyDescent="0.2">
      <c r="A33" s="92"/>
      <c r="B33" s="94"/>
      <c r="C33" s="94"/>
      <c r="D33" s="94"/>
      <c r="E33" s="94"/>
      <c r="F33" s="96"/>
      <c r="G33" s="97"/>
      <c r="H33" s="97"/>
    </row>
    <row r="34" spans="1:9" ht="13.5" thickBot="1" x14ac:dyDescent="0.25">
      <c r="A34" s="87" t="s">
        <v>20</v>
      </c>
      <c r="B34" s="88"/>
      <c r="C34" s="88" t="s">
        <v>1053</v>
      </c>
      <c r="D34" s="88" t="s">
        <v>1054</v>
      </c>
      <c r="E34" s="88" t="s">
        <v>1054</v>
      </c>
      <c r="F34" s="88" t="s">
        <v>1054</v>
      </c>
      <c r="G34" s="91"/>
      <c r="H34" s="91"/>
    </row>
    <row r="35" spans="1:9" ht="13.5" thickTop="1" x14ac:dyDescent="0.2">
      <c r="A35" s="76"/>
      <c r="B35" s="287" t="s">
        <v>1055</v>
      </c>
      <c r="C35" s="127" t="s">
        <v>1055</v>
      </c>
      <c r="D35" s="127" t="s">
        <v>1055</v>
      </c>
      <c r="E35" s="127" t="s">
        <v>1055</v>
      </c>
      <c r="F35" s="127" t="s">
        <v>1055</v>
      </c>
      <c r="G35" s="80"/>
      <c r="H35" s="80"/>
    </row>
    <row r="36" spans="1:9" x14ac:dyDescent="0.2">
      <c r="A36" s="98"/>
      <c r="B36" s="99"/>
      <c r="C36" s="77"/>
      <c r="D36" s="77"/>
      <c r="E36" s="77"/>
      <c r="F36" s="79"/>
      <c r="G36" s="80"/>
      <c r="H36" s="80"/>
    </row>
    <row r="37" spans="1:9" x14ac:dyDescent="0.2">
      <c r="A37" s="92" t="s">
        <v>279</v>
      </c>
      <c r="B37" s="77"/>
      <c r="C37" s="77"/>
      <c r="D37" s="77"/>
      <c r="E37" s="77"/>
      <c r="F37" s="79"/>
      <c r="G37" s="80"/>
      <c r="H37" s="80"/>
    </row>
    <row r="38" spans="1:9" x14ac:dyDescent="0.2">
      <c r="A38" s="93" t="s">
        <v>67</v>
      </c>
      <c r="B38" s="77"/>
      <c r="C38" s="77"/>
      <c r="D38" s="77"/>
      <c r="E38" s="77"/>
      <c r="F38" s="79"/>
      <c r="G38" s="80"/>
      <c r="H38" s="80"/>
    </row>
    <row r="39" spans="1:9" x14ac:dyDescent="0.2">
      <c r="A39" s="92"/>
      <c r="B39" s="83"/>
      <c r="C39" s="83"/>
      <c r="D39" s="83"/>
      <c r="E39" s="83"/>
      <c r="F39" s="85"/>
      <c r="G39" s="86"/>
      <c r="H39" s="86"/>
    </row>
    <row r="40" spans="1:9" ht="13.5" thickBot="1" x14ac:dyDescent="0.25">
      <c r="A40" s="87" t="s">
        <v>20</v>
      </c>
      <c r="B40" s="88" t="s">
        <v>239</v>
      </c>
      <c r="C40" s="88" t="s">
        <v>239</v>
      </c>
      <c r="D40" s="88" t="s">
        <v>239</v>
      </c>
      <c r="E40" s="88" t="s">
        <v>239</v>
      </c>
      <c r="F40" s="88" t="s">
        <v>239</v>
      </c>
      <c r="G40" s="91"/>
      <c r="H40" s="91"/>
    </row>
    <row r="41" spans="1:9" ht="13.5" thickTop="1" x14ac:dyDescent="0.2">
      <c r="A41" s="76"/>
      <c r="B41" s="100"/>
      <c r="C41" s="100"/>
      <c r="D41" s="100"/>
      <c r="E41" s="100"/>
      <c r="F41" s="102"/>
      <c r="G41" s="103"/>
      <c r="H41" s="103"/>
    </row>
    <row r="42" spans="1:9" x14ac:dyDescent="0.2">
      <c r="A42" s="92" t="s">
        <v>71</v>
      </c>
      <c r="B42" s="100"/>
      <c r="C42" s="100"/>
      <c r="D42" s="100"/>
      <c r="E42" s="100"/>
      <c r="F42" s="102"/>
      <c r="G42" s="103"/>
      <c r="H42" s="103"/>
    </row>
    <row r="43" spans="1:9" x14ac:dyDescent="0.2">
      <c r="A43" s="93" t="s">
        <v>72</v>
      </c>
      <c r="B43" s="104"/>
      <c r="C43" s="104"/>
      <c r="D43" s="104"/>
      <c r="E43" s="104"/>
      <c r="F43" s="106"/>
      <c r="G43" s="107"/>
      <c r="H43" s="107"/>
    </row>
    <row r="44" spans="1:9" ht="13.5" thickBot="1" x14ac:dyDescent="0.25">
      <c r="A44" s="87" t="s">
        <v>20</v>
      </c>
      <c r="B44" s="108"/>
      <c r="C44" s="108"/>
      <c r="D44" s="108"/>
      <c r="E44" s="108"/>
      <c r="F44" s="110"/>
      <c r="G44" s="111"/>
      <c r="H44" s="111"/>
    </row>
    <row r="45" spans="1:9" ht="13.5" thickTop="1" x14ac:dyDescent="0.2">
      <c r="A45" s="112" t="s">
        <v>280</v>
      </c>
      <c r="B45" s="113" t="s">
        <v>662</v>
      </c>
      <c r="C45" s="113" t="s">
        <v>662</v>
      </c>
      <c r="D45" s="113" t="s">
        <v>52</v>
      </c>
      <c r="E45" s="113" t="s">
        <v>52</v>
      </c>
      <c r="F45" s="113" t="s">
        <v>52</v>
      </c>
      <c r="G45" s="113"/>
      <c r="H45" s="113"/>
    </row>
    <row r="46" spans="1:9" x14ac:dyDescent="0.2">
      <c r="A46" s="114" t="s">
        <v>282</v>
      </c>
      <c r="B46" s="151" t="s">
        <v>211</v>
      </c>
      <c r="C46" s="151" t="s">
        <v>211</v>
      </c>
      <c r="D46" s="151" t="s">
        <v>211</v>
      </c>
      <c r="E46" s="151" t="s">
        <v>211</v>
      </c>
      <c r="F46" s="151" t="s">
        <v>211</v>
      </c>
      <c r="G46" s="113"/>
      <c r="H46" s="113"/>
    </row>
    <row r="47" spans="1:9" x14ac:dyDescent="0.2">
      <c r="A47" s="163" t="s">
        <v>394</v>
      </c>
      <c r="B47" s="164"/>
      <c r="C47" s="164"/>
      <c r="D47" s="164"/>
      <c r="E47" s="164"/>
      <c r="F47" s="164"/>
      <c r="G47" s="113"/>
      <c r="H47" s="113"/>
    </row>
    <row r="48" spans="1:9" ht="13.5" thickBot="1" x14ac:dyDescent="0.25">
      <c r="A48" s="279" t="s">
        <v>75</v>
      </c>
      <c r="B48" s="273" t="s">
        <v>76</v>
      </c>
      <c r="C48" s="113"/>
      <c r="D48" s="113"/>
      <c r="E48" s="113"/>
      <c r="F48" s="113"/>
      <c r="G48" s="113"/>
      <c r="H48" s="285" t="s">
        <v>463</v>
      </c>
      <c r="I48" s="286">
        <f>SUM(I4:I47)</f>
        <v>8</v>
      </c>
    </row>
    <row r="49" spans="1:8" ht="13.5" thickTop="1" x14ac:dyDescent="0.2">
      <c r="A49" s="115"/>
      <c r="B49" s="113"/>
      <c r="C49" s="113"/>
      <c r="D49" s="113"/>
      <c r="E49" s="113"/>
      <c r="F49" s="113"/>
      <c r="G49" s="113"/>
      <c r="H49" s="113"/>
    </row>
    <row r="50" spans="1:8" x14ac:dyDescent="0.2">
      <c r="A50" s="115"/>
      <c r="B50" s="116"/>
      <c r="C50" s="116"/>
      <c r="D50" s="116"/>
      <c r="E50" s="116"/>
      <c r="F50" s="116"/>
      <c r="G50" s="116"/>
      <c r="H50" s="116"/>
    </row>
    <row r="51" spans="1:8" x14ac:dyDescent="0.2">
      <c r="A51" s="117"/>
      <c r="B51" s="116"/>
      <c r="C51" s="116"/>
      <c r="D51" s="116"/>
      <c r="E51" s="116"/>
      <c r="F51" s="116"/>
      <c r="G51" s="116"/>
      <c r="H51" s="116"/>
    </row>
    <row r="52" spans="1:8" x14ac:dyDescent="0.2">
      <c r="A52" s="117"/>
      <c r="B52" s="116"/>
      <c r="C52" s="116"/>
      <c r="D52" s="116"/>
      <c r="E52" s="116"/>
      <c r="F52" s="116"/>
      <c r="G52" s="116"/>
      <c r="H52" s="116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5"/>
      <c r="B59" s="118"/>
      <c r="C59" s="118"/>
      <c r="D59" s="118"/>
      <c r="E59" s="118"/>
      <c r="F59" s="118"/>
      <c r="G59" s="118"/>
      <c r="H59" s="118"/>
    </row>
    <row r="60" spans="1:8" x14ac:dyDescent="0.2">
      <c r="A60" s="117"/>
      <c r="B60" s="118"/>
      <c r="C60" s="118"/>
      <c r="D60" s="118"/>
      <c r="E60" s="118"/>
      <c r="F60" s="118"/>
      <c r="G60" s="118"/>
      <c r="H60" s="118"/>
    </row>
    <row r="61" spans="1:8" x14ac:dyDescent="0.2">
      <c r="A61" s="117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sqref="A1:F40"/>
      <pageMargins left="0" right="0" top="0" bottom="0" header="0" footer="0"/>
      <printOptions gridLines="1"/>
      <pageSetup paperSize="9" scale="95" orientation="landscape" r:id="rId1"/>
      <headerFooter alignWithMargins="0">
        <oddHeader>&amp;C2019.08.12-18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D49" sqref="D49"/>
      <pageMargins left="0" right="0" top="0" bottom="0" header="0" footer="0"/>
      <printOptions gridLines="1"/>
      <pageSetup paperSize="8" scale="95" orientation="landscape" r:id="rId2"/>
      <headerFooter alignWithMargins="0">
        <oddHeader>&amp;C2019.08.12-18</oddHeader>
      </headerFooter>
    </customSheetView>
    <customSheetView guid="{07BAD8F1-49B6-40C7-A1B5-B8EF23A4A904}" scale="80" showPageBreaks="1" printArea="1">
      <pane ySplit="1" topLeftCell="A11" activePane="bottomLeft" state="frozen"/>
      <selection pane="bottomLeft" activeCell="G45" sqref="G45"/>
      <pageMargins left="0" right="0" top="0" bottom="0" header="0" footer="0"/>
      <printOptions gridLines="1"/>
      <pageSetup paperSize="8" scale="95" orientation="landscape" r:id="rId3"/>
      <headerFooter alignWithMargins="0">
        <oddHeader>&amp;C2019.08.12-18</oddHeader>
      </headerFooter>
    </customSheetView>
    <customSheetView guid="{4B58F0A9-071E-4376-B7AD-463366669E19}" scale="80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9" scale="95" orientation="landscape" r:id="rId4"/>
      <headerFooter alignWithMargins="0">
        <oddHeader>&amp;C2019.08.12-18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&amp;C2019.08.12-18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6"/>
      <headerFooter alignWithMargins="0">
        <oddHeader>&amp;C2019.08.12-18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9" scale="95" orientation="landscape" r:id="rId7"/>
      <headerFooter alignWithMargins="0">
        <oddHeader>&amp;C2019.08.12-18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F40" sqref="F40"/>
      <pageMargins left="0" right="0" top="0" bottom="0" header="0" footer="0"/>
      <printOptions gridLines="1"/>
      <pageSetup paperSize="8" scale="95" orientation="landscape" r:id="rId8"/>
      <headerFooter alignWithMargins="0">
        <oddHeader>&amp;C2019.08.12-18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D10" sqref="D10"/>
      <pageMargins left="0" right="0" top="0" bottom="0" header="0" footer="0"/>
      <printOptions gridLines="1"/>
      <pageSetup paperSize="9" scale="80" orientation="landscape" r:id="rId9"/>
      <headerFooter alignWithMargins="0">
        <oddHeader>&amp;C2019.08.12-18</oddHeader>
      </headerFooter>
    </customSheetView>
    <customSheetView guid="{4C7C4345-D832-4452-B223-3E4A3FAA8500}" scale="80" showPageBreaks="1" printArea="1">
      <pane ySplit="1" topLeftCell="A5" activePane="bottomLeft" state="frozen"/>
      <selection pane="bottomLeft" activeCell="V20" sqref="V20"/>
      <pageMargins left="0" right="0" top="0" bottom="0" header="0" footer="0"/>
      <printOptions gridLines="1"/>
      <pageSetup paperSize="8" scale="95" orientation="landscape" r:id="rId10"/>
      <headerFooter alignWithMargins="0">
        <oddHeader>&amp;C2019.08.12-18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E15" sqref="E15"/>
      <pageMargins left="0" right="0" top="0" bottom="0" header="0" footer="0"/>
      <printOptions gridLines="1"/>
      <pageSetup paperSize="8" scale="95" orientation="landscape" r:id="rId11"/>
      <headerFooter alignWithMargins="0">
        <oddHeader>&amp;C2019.08.12-18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I39" sqref="I39"/>
      <pageMargins left="0" right="0" top="0" bottom="0" header="0" footer="0"/>
      <printOptions gridLines="1"/>
      <pageSetup paperSize="9" scale="80" orientation="landscape" r:id="rId12"/>
      <headerFooter alignWithMargins="0">
        <oddHeader>&amp;C2019.08.12-18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9" scale="80" orientation="landscape" r:id="rId13"/>
  <headerFooter alignWithMargins="0">
    <oddHeader>&amp;C2019.08.12-18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Munka22"/>
  <dimension ref="A1:I140"/>
  <sheetViews>
    <sheetView zoomScale="80" zoomScaleNormal="80" zoomScaleSheetLayoutView="40" workbookViewId="0">
      <pane ySplit="1" topLeftCell="A2" activePane="bottomLeft" state="frozen"/>
      <selection pane="bottomLeft" activeCell="E25" sqref="E25"/>
    </sheetView>
  </sheetViews>
  <sheetFormatPr defaultColWidth="9.140625" defaultRowHeight="12.75" x14ac:dyDescent="0.2"/>
  <cols>
    <col min="1" max="1" width="10.7109375" style="119" customWidth="1"/>
    <col min="2" max="6" width="30.7109375" style="69" customWidth="1"/>
    <col min="7" max="8" width="20.7109375" style="69" customWidth="1"/>
    <col min="9" max="9" width="30.7109375" style="69" customWidth="1"/>
    <col min="10" max="16384" width="9.140625" style="69"/>
  </cols>
  <sheetData>
    <row r="1" spans="1:9" ht="28.5" customHeight="1" thickTop="1" thickBot="1" x14ac:dyDescent="0.25">
      <c r="A1" s="64" t="s">
        <v>1056</v>
      </c>
      <c r="B1" s="67" t="s">
        <v>1057</v>
      </c>
      <c r="C1" s="66" t="s">
        <v>1058</v>
      </c>
      <c r="D1" s="65" t="s">
        <v>1059</v>
      </c>
      <c r="E1" s="65" t="s">
        <v>1060</v>
      </c>
      <c r="F1" s="65" t="s">
        <v>1061</v>
      </c>
      <c r="G1" s="67" t="s">
        <v>1062</v>
      </c>
      <c r="H1" s="67" t="s">
        <v>1063</v>
      </c>
      <c r="I1" s="68"/>
    </row>
    <row r="2" spans="1:9" ht="15" customHeight="1" x14ac:dyDescent="0.2">
      <c r="A2" s="70"/>
      <c r="B2" s="74"/>
      <c r="C2" s="72"/>
      <c r="D2" s="71"/>
      <c r="E2" s="71"/>
      <c r="F2" s="73"/>
      <c r="G2" s="74"/>
      <c r="H2" s="74"/>
      <c r="I2" s="75"/>
    </row>
    <row r="3" spans="1:9" ht="15" customHeight="1" x14ac:dyDescent="0.2">
      <c r="A3" s="76"/>
      <c r="B3" s="80"/>
      <c r="C3" s="78"/>
      <c r="D3" s="77"/>
      <c r="E3" s="77"/>
      <c r="F3" s="79"/>
      <c r="G3" s="80"/>
      <c r="H3" s="80"/>
      <c r="I3" s="75"/>
    </row>
    <row r="4" spans="1:9" ht="15" customHeight="1" x14ac:dyDescent="0.2">
      <c r="A4" s="76" t="s">
        <v>18</v>
      </c>
      <c r="B4" s="80"/>
      <c r="C4" s="78"/>
      <c r="D4" s="77"/>
      <c r="E4" s="77"/>
      <c r="F4" s="79"/>
      <c r="G4" s="80"/>
      <c r="H4" s="80"/>
    </row>
    <row r="5" spans="1:9" ht="15" customHeight="1" x14ac:dyDescent="0.2">
      <c r="A5" s="81" t="s">
        <v>19</v>
      </c>
      <c r="B5" s="80"/>
      <c r="C5" s="78"/>
      <c r="D5" s="77" t="s">
        <v>1064</v>
      </c>
      <c r="E5" s="77"/>
      <c r="F5" s="79"/>
      <c r="G5" s="80"/>
      <c r="H5" s="80"/>
    </row>
    <row r="6" spans="1:9" ht="15" customHeight="1" x14ac:dyDescent="0.2">
      <c r="A6" s="82"/>
      <c r="B6" s="86"/>
      <c r="C6" s="84"/>
      <c r="D6" s="83"/>
      <c r="E6" s="83"/>
      <c r="F6" s="85"/>
      <c r="G6" s="86"/>
      <c r="H6" s="86"/>
    </row>
    <row r="7" spans="1:9" ht="15" customHeight="1" thickBot="1" x14ac:dyDescent="0.25">
      <c r="A7" s="87" t="s">
        <v>20</v>
      </c>
      <c r="B7" s="91"/>
      <c r="C7" s="89"/>
      <c r="D7" s="88"/>
      <c r="E7" s="88"/>
      <c r="F7" s="90"/>
      <c r="G7" s="91"/>
      <c r="H7" s="91"/>
    </row>
    <row r="8" spans="1:9" ht="15" customHeight="1" thickTop="1" x14ac:dyDescent="0.2">
      <c r="A8" s="82"/>
      <c r="B8" s="80"/>
      <c r="C8" s="78"/>
      <c r="D8" s="77"/>
      <c r="E8" s="77"/>
      <c r="F8" s="79"/>
      <c r="G8" s="80"/>
      <c r="H8" s="80"/>
    </row>
    <row r="9" spans="1:9" ht="15" customHeight="1" x14ac:dyDescent="0.2">
      <c r="A9" s="82"/>
      <c r="B9" s="80"/>
      <c r="C9" s="78"/>
      <c r="D9" s="77"/>
      <c r="E9" s="77"/>
      <c r="F9" s="79"/>
      <c r="G9" s="80"/>
      <c r="H9" s="80"/>
    </row>
    <row r="10" spans="1:9" ht="15" customHeight="1" x14ac:dyDescent="0.2">
      <c r="A10" s="92" t="s">
        <v>18</v>
      </c>
      <c r="B10" s="80"/>
      <c r="C10" s="78"/>
      <c r="D10" s="77"/>
      <c r="E10" s="77"/>
      <c r="F10" s="79"/>
      <c r="G10" s="80"/>
      <c r="H10" s="80"/>
    </row>
    <row r="11" spans="1:9" ht="15" customHeight="1" x14ac:dyDescent="0.2">
      <c r="A11" s="93" t="s">
        <v>30</v>
      </c>
      <c r="B11" s="80"/>
      <c r="C11" s="78"/>
      <c r="D11" s="77"/>
      <c r="E11" s="77"/>
      <c r="F11" s="79"/>
      <c r="G11" s="80"/>
      <c r="H11" s="80"/>
    </row>
    <row r="12" spans="1:9" ht="15" customHeight="1" x14ac:dyDescent="0.2">
      <c r="A12" s="82"/>
      <c r="B12" s="80"/>
      <c r="C12" s="78"/>
      <c r="D12" s="77"/>
      <c r="E12" s="77"/>
      <c r="F12" s="79"/>
      <c r="G12" s="80"/>
      <c r="H12" s="80"/>
    </row>
    <row r="13" spans="1:9" ht="15" customHeight="1" x14ac:dyDescent="0.2">
      <c r="A13" s="82"/>
      <c r="B13" s="86"/>
      <c r="C13" s="84"/>
      <c r="D13" s="83"/>
      <c r="E13" s="83"/>
      <c r="F13" s="85"/>
      <c r="G13" s="86"/>
      <c r="H13" s="86"/>
    </row>
    <row r="14" spans="1:9" ht="15" customHeight="1" thickBot="1" x14ac:dyDescent="0.25">
      <c r="A14" s="87" t="s">
        <v>20</v>
      </c>
      <c r="B14" s="91"/>
      <c r="C14" s="89"/>
      <c r="D14" s="88"/>
      <c r="E14" s="88"/>
      <c r="F14" s="90"/>
      <c r="G14" s="91"/>
      <c r="H14" s="91"/>
    </row>
    <row r="15" spans="1:9" ht="15" customHeight="1" thickTop="1" x14ac:dyDescent="0.2">
      <c r="A15" s="82"/>
      <c r="B15" s="80"/>
      <c r="C15" s="78"/>
      <c r="D15" s="77" t="s">
        <v>1065</v>
      </c>
      <c r="E15" s="77" t="s">
        <v>1066</v>
      </c>
      <c r="F15" s="79" t="s">
        <v>1067</v>
      </c>
      <c r="G15" s="80"/>
      <c r="H15" s="80"/>
    </row>
    <row r="16" spans="1:9" ht="15" customHeight="1" x14ac:dyDescent="0.2">
      <c r="A16" s="82"/>
      <c r="B16" s="80"/>
      <c r="C16" s="78"/>
      <c r="D16" s="77" t="s">
        <v>1068</v>
      </c>
      <c r="E16" s="77" t="s">
        <v>1069</v>
      </c>
      <c r="F16" s="79"/>
      <c r="G16" s="80"/>
      <c r="H16" s="80"/>
    </row>
    <row r="17" spans="1:8" ht="15" customHeight="1" x14ac:dyDescent="0.2">
      <c r="A17" s="92" t="s">
        <v>41</v>
      </c>
      <c r="B17" s="80"/>
      <c r="C17" s="78"/>
      <c r="D17" s="77"/>
      <c r="E17" s="77"/>
      <c r="F17" s="79"/>
      <c r="G17" s="80"/>
      <c r="H17" s="80"/>
    </row>
    <row r="18" spans="1:8" ht="15" customHeight="1" x14ac:dyDescent="0.2">
      <c r="A18" s="93" t="s">
        <v>43</v>
      </c>
      <c r="B18" s="80"/>
      <c r="C18" s="78"/>
      <c r="D18" s="77"/>
      <c r="E18" s="77"/>
      <c r="F18" s="79"/>
      <c r="G18" s="80"/>
      <c r="H18" s="80"/>
    </row>
    <row r="19" spans="1:8" x14ac:dyDescent="0.2">
      <c r="A19" s="82"/>
      <c r="B19" s="86"/>
      <c r="C19" s="84"/>
      <c r="D19" s="83"/>
      <c r="E19" s="83"/>
      <c r="F19" s="85"/>
      <c r="G19" s="86"/>
      <c r="H19" s="86"/>
    </row>
    <row r="20" spans="1:8" ht="13.5" thickBot="1" x14ac:dyDescent="0.25">
      <c r="A20" s="87" t="s">
        <v>20</v>
      </c>
      <c r="B20" s="91"/>
      <c r="C20" s="89"/>
      <c r="D20" s="88"/>
      <c r="E20" s="88"/>
      <c r="F20" s="90"/>
      <c r="G20" s="91"/>
      <c r="H20" s="91"/>
    </row>
    <row r="21" spans="1:8" ht="13.5" thickTop="1" x14ac:dyDescent="0.2">
      <c r="A21" s="82"/>
      <c r="B21" s="80"/>
      <c r="C21" s="78"/>
      <c r="D21" s="77"/>
      <c r="E21" s="77"/>
      <c r="F21" s="79"/>
      <c r="G21" s="80"/>
      <c r="H21" s="80"/>
    </row>
    <row r="22" spans="1:8" x14ac:dyDescent="0.2">
      <c r="A22" s="82"/>
      <c r="B22" s="80"/>
      <c r="C22" s="78"/>
      <c r="D22" s="77"/>
      <c r="E22" s="77"/>
      <c r="F22" s="79"/>
      <c r="G22" s="80"/>
      <c r="H22" s="80"/>
    </row>
    <row r="23" spans="1:8" x14ac:dyDescent="0.2">
      <c r="A23" s="92" t="s">
        <v>41</v>
      </c>
      <c r="B23" s="80"/>
      <c r="C23" s="78"/>
      <c r="D23" s="77"/>
      <c r="E23" s="77"/>
      <c r="F23" s="79"/>
      <c r="G23" s="80"/>
      <c r="H23" s="80"/>
    </row>
    <row r="24" spans="1:8" x14ac:dyDescent="0.2">
      <c r="A24" s="93" t="s">
        <v>50</v>
      </c>
      <c r="B24" s="80"/>
      <c r="C24" s="78"/>
      <c r="D24" s="77"/>
      <c r="E24" s="77"/>
      <c r="F24" s="79"/>
      <c r="G24" s="80"/>
      <c r="H24" s="80"/>
    </row>
    <row r="25" spans="1:8" x14ac:dyDescent="0.2">
      <c r="A25" s="82"/>
      <c r="B25" s="80"/>
      <c r="C25" s="78"/>
      <c r="D25" s="77"/>
      <c r="E25" s="77"/>
      <c r="F25" s="79"/>
      <c r="G25" s="80"/>
      <c r="H25" s="80"/>
    </row>
    <row r="26" spans="1:8" x14ac:dyDescent="0.2">
      <c r="A26" s="82"/>
      <c r="B26" s="86"/>
      <c r="C26" s="84"/>
      <c r="D26" s="83"/>
      <c r="E26" s="83"/>
      <c r="F26" s="85"/>
      <c r="G26" s="86"/>
      <c r="H26" s="86"/>
    </row>
    <row r="27" spans="1:8" ht="13.5" thickBot="1" x14ac:dyDescent="0.25">
      <c r="A27" s="87" t="s">
        <v>20</v>
      </c>
      <c r="B27" s="91"/>
      <c r="C27" s="89"/>
      <c r="D27" s="88"/>
      <c r="E27" s="88"/>
      <c r="F27" s="90"/>
      <c r="G27" s="91"/>
      <c r="H27" s="91"/>
    </row>
    <row r="28" spans="1:8" ht="13.5" thickTop="1" x14ac:dyDescent="0.2">
      <c r="A28" s="76"/>
      <c r="B28" s="80"/>
      <c r="C28" s="78"/>
      <c r="D28" s="77"/>
      <c r="E28" s="77"/>
      <c r="F28" s="79"/>
      <c r="G28" s="80"/>
      <c r="H28" s="80"/>
    </row>
    <row r="29" spans="1:8" x14ac:dyDescent="0.2">
      <c r="A29" s="82"/>
      <c r="B29" s="80"/>
      <c r="C29" s="78"/>
      <c r="D29" s="77"/>
      <c r="E29" s="77"/>
      <c r="F29" s="79"/>
      <c r="G29" s="80"/>
      <c r="H29" s="80"/>
    </row>
    <row r="30" spans="1:8" x14ac:dyDescent="0.2">
      <c r="A30" s="92" t="s">
        <v>59</v>
      </c>
      <c r="B30" s="80"/>
      <c r="C30" s="78"/>
      <c r="D30" s="77"/>
      <c r="E30" s="77"/>
      <c r="F30" s="79"/>
      <c r="G30" s="80"/>
      <c r="H30" s="80"/>
    </row>
    <row r="31" spans="1:8" x14ac:dyDescent="0.2">
      <c r="A31" s="93" t="s">
        <v>60</v>
      </c>
      <c r="B31" s="80"/>
      <c r="C31" s="78"/>
      <c r="D31" s="77"/>
      <c r="E31" s="77"/>
      <c r="F31" s="79"/>
      <c r="G31" s="80"/>
      <c r="H31" s="80"/>
    </row>
    <row r="32" spans="1:8" x14ac:dyDescent="0.2">
      <c r="A32" s="92"/>
      <c r="B32" s="80"/>
      <c r="C32" s="78"/>
      <c r="D32" s="77"/>
      <c r="E32" s="77"/>
      <c r="F32" s="79"/>
      <c r="G32" s="80"/>
      <c r="H32" s="80"/>
    </row>
    <row r="33" spans="1:8" x14ac:dyDescent="0.2">
      <c r="A33" s="92"/>
      <c r="B33" s="97"/>
      <c r="C33" s="95"/>
      <c r="D33" s="94"/>
      <c r="E33" s="94"/>
      <c r="F33" s="96"/>
      <c r="G33" s="97"/>
      <c r="H33" s="97"/>
    </row>
    <row r="34" spans="1:8" ht="13.5" thickBot="1" x14ac:dyDescent="0.25">
      <c r="A34" s="87" t="s">
        <v>20</v>
      </c>
      <c r="B34" s="91"/>
      <c r="C34" s="89"/>
      <c r="D34" s="88"/>
      <c r="E34" s="88"/>
      <c r="F34" s="90"/>
      <c r="G34" s="91"/>
      <c r="H34" s="91"/>
    </row>
    <row r="35" spans="1:8" ht="13.5" thickTop="1" x14ac:dyDescent="0.2">
      <c r="A35" s="76"/>
      <c r="B35" s="80"/>
      <c r="C35" s="78"/>
      <c r="D35" s="77"/>
      <c r="E35" s="77"/>
      <c r="F35" s="79"/>
      <c r="G35" s="80"/>
      <c r="H35" s="80"/>
    </row>
    <row r="36" spans="1:8" x14ac:dyDescent="0.2">
      <c r="A36" s="98"/>
      <c r="B36" s="121"/>
      <c r="C36" s="78"/>
      <c r="D36" s="77"/>
      <c r="E36" s="77"/>
      <c r="F36" s="79"/>
      <c r="G36" s="80"/>
      <c r="H36" s="80"/>
    </row>
    <row r="37" spans="1:8" x14ac:dyDescent="0.2">
      <c r="A37" s="92" t="s">
        <v>279</v>
      </c>
      <c r="B37" s="80"/>
      <c r="C37" s="78"/>
      <c r="D37" s="77"/>
      <c r="E37" s="77"/>
      <c r="F37" s="79"/>
      <c r="G37" s="80"/>
      <c r="H37" s="80"/>
    </row>
    <row r="38" spans="1:8" x14ac:dyDescent="0.2">
      <c r="A38" s="93" t="s">
        <v>67</v>
      </c>
      <c r="B38" s="80"/>
      <c r="C38" s="78"/>
      <c r="D38" s="77"/>
      <c r="E38" s="77"/>
      <c r="F38" s="79"/>
      <c r="G38" s="80"/>
      <c r="H38" s="80"/>
    </row>
    <row r="39" spans="1:8" x14ac:dyDescent="0.2">
      <c r="A39" s="92"/>
      <c r="B39" s="86"/>
      <c r="C39" s="84"/>
      <c r="D39" s="83"/>
      <c r="E39" s="83"/>
      <c r="F39" s="85"/>
      <c r="G39" s="86"/>
      <c r="H39" s="86"/>
    </row>
    <row r="40" spans="1:8" ht="13.5" thickBot="1" x14ac:dyDescent="0.25">
      <c r="A40" s="87" t="s">
        <v>20</v>
      </c>
      <c r="B40" s="91"/>
      <c r="C40" s="89"/>
      <c r="D40" s="88"/>
      <c r="E40" s="88"/>
      <c r="F40" s="90"/>
      <c r="G40" s="91"/>
      <c r="H40" s="91"/>
    </row>
    <row r="41" spans="1:8" ht="13.5" thickTop="1" x14ac:dyDescent="0.2">
      <c r="A41" s="76"/>
      <c r="B41" s="103"/>
      <c r="C41" s="101"/>
      <c r="D41" s="100"/>
      <c r="E41" s="100"/>
      <c r="F41" s="102"/>
      <c r="G41" s="103"/>
      <c r="H41" s="103"/>
    </row>
    <row r="42" spans="1:8" x14ac:dyDescent="0.2">
      <c r="A42" s="92" t="s">
        <v>71</v>
      </c>
      <c r="B42" s="103"/>
      <c r="C42" s="101"/>
      <c r="D42" s="100"/>
      <c r="E42" s="100"/>
      <c r="F42" s="102"/>
      <c r="G42" s="103"/>
      <c r="H42" s="103"/>
    </row>
    <row r="43" spans="1:8" x14ac:dyDescent="0.2">
      <c r="A43" s="93" t="s">
        <v>72</v>
      </c>
      <c r="B43" s="107"/>
      <c r="C43" s="105"/>
      <c r="D43" s="104"/>
      <c r="E43" s="104"/>
      <c r="F43" s="106"/>
      <c r="G43" s="107"/>
      <c r="H43" s="107"/>
    </row>
    <row r="44" spans="1:8" ht="13.5" thickBot="1" x14ac:dyDescent="0.25">
      <c r="A44" s="87" t="s">
        <v>20</v>
      </c>
      <c r="B44" s="111"/>
      <c r="C44" s="109"/>
      <c r="D44" s="108"/>
      <c r="E44" s="108"/>
      <c r="F44" s="110"/>
      <c r="G44" s="111"/>
      <c r="H44" s="111"/>
    </row>
    <row r="45" spans="1:8" ht="13.5" thickTop="1" x14ac:dyDescent="0.2">
      <c r="A45" s="112" t="s">
        <v>280</v>
      </c>
      <c r="B45" s="113"/>
      <c r="C45" s="113"/>
      <c r="D45" s="113" t="s">
        <v>73</v>
      </c>
      <c r="E45" s="113" t="s">
        <v>73</v>
      </c>
      <c r="F45" s="113" t="s">
        <v>1070</v>
      </c>
      <c r="G45" s="113"/>
      <c r="H45" s="113"/>
    </row>
    <row r="46" spans="1:8" x14ac:dyDescent="0.2">
      <c r="A46" s="114" t="s">
        <v>282</v>
      </c>
      <c r="B46" s="113"/>
      <c r="C46" s="113"/>
      <c r="D46" s="113"/>
      <c r="E46" s="113"/>
      <c r="F46" s="113"/>
      <c r="G46" s="113"/>
      <c r="H46" s="113"/>
    </row>
    <row r="47" spans="1:8" x14ac:dyDescent="0.2">
      <c r="A47" s="115"/>
      <c r="B47" s="113"/>
      <c r="C47" s="113"/>
      <c r="D47" s="113"/>
      <c r="E47" s="113"/>
      <c r="F47" s="113"/>
      <c r="G47" s="113"/>
      <c r="H47" s="113"/>
    </row>
    <row r="48" spans="1:8" x14ac:dyDescent="0.2">
      <c r="A48" s="115"/>
      <c r="B48" s="113"/>
      <c r="C48" s="113"/>
      <c r="D48" s="113"/>
      <c r="E48" s="113"/>
      <c r="F48" s="113"/>
      <c r="G48" s="113"/>
      <c r="H48" s="113"/>
    </row>
    <row r="49" spans="1:8" x14ac:dyDescent="0.2">
      <c r="A49" s="115"/>
      <c r="B49" s="113"/>
      <c r="C49" s="113"/>
      <c r="D49" s="113"/>
      <c r="E49" s="113"/>
      <c r="F49" s="113"/>
      <c r="G49" s="113"/>
      <c r="H49" s="113"/>
    </row>
    <row r="50" spans="1:8" x14ac:dyDescent="0.2">
      <c r="A50" s="115"/>
      <c r="B50" s="116"/>
      <c r="C50" s="116"/>
      <c r="D50" s="116"/>
      <c r="E50" s="116"/>
      <c r="F50" s="116"/>
      <c r="G50" s="116"/>
      <c r="H50" s="116"/>
    </row>
    <row r="51" spans="1:8" x14ac:dyDescent="0.2">
      <c r="A51" s="117"/>
      <c r="B51" s="116"/>
      <c r="C51" s="116"/>
      <c r="D51" s="116"/>
      <c r="E51" s="116"/>
      <c r="F51" s="116"/>
      <c r="G51" s="116"/>
      <c r="H51" s="116"/>
    </row>
    <row r="52" spans="1:8" x14ac:dyDescent="0.2">
      <c r="A52" s="117"/>
      <c r="B52" s="116"/>
      <c r="C52" s="116"/>
      <c r="D52" s="116"/>
      <c r="E52" s="116"/>
      <c r="F52" s="116"/>
      <c r="G52" s="116"/>
      <c r="H52" s="116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5"/>
      <c r="B59" s="118"/>
      <c r="C59" s="118"/>
      <c r="D59" s="118"/>
      <c r="E59" s="118"/>
      <c r="F59" s="118"/>
      <c r="G59" s="118"/>
      <c r="H59" s="118"/>
    </row>
    <row r="60" spans="1:8" x14ac:dyDescent="0.2">
      <c r="A60" s="117"/>
      <c r="B60" s="118"/>
      <c r="C60" s="118"/>
      <c r="D60" s="118"/>
      <c r="E60" s="118"/>
      <c r="F60" s="118"/>
      <c r="G60" s="118"/>
      <c r="H60" s="118"/>
    </row>
    <row r="61" spans="1:8" x14ac:dyDescent="0.2">
      <c r="A61" s="117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"/>
      <headerFooter alignWithMargins="0">
        <oddHeader>&amp;C2019.08.19-25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D49" sqref="D49"/>
      <pageMargins left="0" right="0" top="0" bottom="0" header="0" footer="0"/>
      <printOptions gridLines="1"/>
      <pageSetup paperSize="8" scale="95" orientation="landscape" r:id="rId2"/>
      <headerFooter alignWithMargins="0">
        <oddHeader>&amp;C2019.08.19-25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3"/>
      <headerFooter alignWithMargins="0">
        <oddHeader>&amp;C2019.08.19-25</oddHeader>
      </headerFooter>
    </customSheetView>
    <customSheetView guid="{4B58F0A9-071E-4376-B7AD-463366669E19}" scale="80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4"/>
      <headerFooter alignWithMargins="0">
        <oddHeader>&amp;C2019.08.19-25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&amp;C2019.08.19-25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6"/>
      <headerFooter alignWithMargins="0">
        <oddHeader>&amp;C2019.08.19-25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7"/>
      <headerFooter alignWithMargins="0">
        <oddHeader>&amp;C2019.08.19-25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8"/>
      <headerFooter alignWithMargins="0">
        <oddHeader>&amp;C2019.08.19-25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9"/>
      <headerFooter alignWithMargins="0">
        <oddHeader>&amp;C2019.08.19-25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0"/>
      <headerFooter alignWithMargins="0">
        <oddHeader>&amp;C2019.08.19-25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I24" sqref="I24"/>
      <pageMargins left="0" right="0" top="0" bottom="0" header="0" footer="0"/>
      <printOptions gridLines="1"/>
      <pageSetup paperSize="8" scale="95" orientation="landscape" r:id="rId11"/>
      <headerFooter alignWithMargins="0">
        <oddHeader>&amp;C2019.08.19-25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2"/>
      <headerFooter alignWithMargins="0">
        <oddHeader>&amp;C2019.08.19-25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8" scale="95" orientation="landscape" r:id="rId13"/>
  <headerFooter alignWithMargins="0">
    <oddHeader>&amp;C2019.08.19-25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4B1C-CC2A-4399-A314-A02589628A1B}">
  <dimension ref="A1:H48"/>
  <sheetViews>
    <sheetView tabSelected="1" zoomScale="80" zoomScaleNormal="80" zoomScaleSheetLayoutView="40" workbookViewId="0">
      <pane ySplit="1" topLeftCell="A20" activePane="bottomLeft" state="frozen"/>
      <selection pane="bottomLeft" activeCell="F46" sqref="F46"/>
    </sheetView>
  </sheetViews>
  <sheetFormatPr defaultColWidth="9.140625" defaultRowHeight="12.75" x14ac:dyDescent="0.2"/>
  <cols>
    <col min="1" max="1" width="12.140625" style="119" customWidth="1"/>
    <col min="2" max="6" width="29.28515625" style="69" customWidth="1"/>
    <col min="7" max="7" width="15.140625" style="69" customWidth="1"/>
    <col min="8" max="8" width="15.28515625" style="69" customWidth="1"/>
    <col min="9" max="16384" width="9.140625" style="69"/>
  </cols>
  <sheetData>
    <row r="1" spans="1:8" ht="28.5" customHeight="1" thickTop="1" thickBot="1" x14ac:dyDescent="0.25">
      <c r="A1" s="64" t="s">
        <v>512</v>
      </c>
      <c r="B1" s="65" t="s">
        <v>513</v>
      </c>
      <c r="C1" s="65" t="s">
        <v>514</v>
      </c>
      <c r="D1" s="65" t="s">
        <v>515</v>
      </c>
      <c r="E1" s="65" t="s">
        <v>516</v>
      </c>
      <c r="F1" s="65" t="s">
        <v>517</v>
      </c>
      <c r="G1" s="67" t="s">
        <v>518</v>
      </c>
      <c r="H1" s="67" t="s">
        <v>519</v>
      </c>
    </row>
    <row r="2" spans="1:8" ht="15" customHeight="1" x14ac:dyDescent="0.2">
      <c r="A2" s="70"/>
      <c r="B2" s="122" t="s">
        <v>521</v>
      </c>
      <c r="C2" s="122" t="s">
        <v>522</v>
      </c>
      <c r="D2" s="127" t="s">
        <v>171</v>
      </c>
      <c r="E2" s="152" t="s">
        <v>523</v>
      </c>
      <c r="F2" s="128" t="s">
        <v>524</v>
      </c>
      <c r="G2" s="181"/>
      <c r="H2" s="74"/>
    </row>
    <row r="3" spans="1:8" ht="15" customHeight="1" x14ac:dyDescent="0.2">
      <c r="A3" s="76"/>
      <c r="B3" s="154"/>
      <c r="C3" s="127" t="s">
        <v>525</v>
      </c>
      <c r="D3" s="127" t="s">
        <v>526</v>
      </c>
      <c r="E3" s="154" t="s">
        <v>527</v>
      </c>
      <c r="F3" s="129" t="s">
        <v>528</v>
      </c>
      <c r="G3" s="177"/>
      <c r="H3" s="80"/>
    </row>
    <row r="4" spans="1:8" ht="15" customHeight="1" x14ac:dyDescent="0.2">
      <c r="A4" s="76" t="s">
        <v>18</v>
      </c>
      <c r="B4" s="154"/>
      <c r="C4" s="77" t="s">
        <v>529</v>
      </c>
      <c r="D4" s="138" t="s">
        <v>530</v>
      </c>
      <c r="E4" s="154"/>
      <c r="F4" s="129" t="s">
        <v>531</v>
      </c>
      <c r="G4" s="177"/>
      <c r="H4" s="80"/>
    </row>
    <row r="5" spans="1:8" ht="15" customHeight="1" x14ac:dyDescent="0.2">
      <c r="A5" s="81" t="s">
        <v>19</v>
      </c>
      <c r="B5" s="154"/>
      <c r="C5" s="79"/>
      <c r="D5" s="138" t="s">
        <v>532</v>
      </c>
      <c r="E5" s="154"/>
      <c r="F5" s="129" t="s">
        <v>533</v>
      </c>
      <c r="G5" s="177"/>
      <c r="H5" s="80"/>
    </row>
    <row r="6" spans="1:8" ht="15" customHeight="1" x14ac:dyDescent="0.2">
      <c r="A6" s="82"/>
      <c r="B6" s="155"/>
      <c r="C6" s="85"/>
      <c r="D6" s="160" t="s">
        <v>534</v>
      </c>
      <c r="E6" s="155"/>
      <c r="F6" s="85"/>
      <c r="G6" s="178"/>
      <c r="H6" s="86"/>
    </row>
    <row r="7" spans="1:8" ht="15" customHeight="1" thickBot="1" x14ac:dyDescent="0.25">
      <c r="A7" s="87" t="s">
        <v>20</v>
      </c>
      <c r="B7" s="88" t="s">
        <v>363</v>
      </c>
      <c r="C7" s="215" t="s">
        <v>363</v>
      </c>
      <c r="D7" s="88" t="s">
        <v>52</v>
      </c>
      <c r="E7" s="154" t="s">
        <v>363</v>
      </c>
      <c r="F7" s="158" t="s">
        <v>363</v>
      </c>
      <c r="G7" s="179"/>
      <c r="H7" s="91"/>
    </row>
    <row r="8" spans="1:8" ht="15" customHeight="1" thickTop="1" x14ac:dyDescent="0.2">
      <c r="A8" s="82"/>
      <c r="B8" s="127" t="s">
        <v>535</v>
      </c>
      <c r="C8" s="127" t="s">
        <v>536</v>
      </c>
      <c r="D8" s="137" t="s">
        <v>537</v>
      </c>
      <c r="E8" s="71" t="s">
        <v>538</v>
      </c>
      <c r="F8" s="128"/>
      <c r="G8" s="80"/>
      <c r="H8" s="80"/>
    </row>
    <row r="9" spans="1:8" ht="15" customHeight="1" x14ac:dyDescent="0.2">
      <c r="A9" s="82"/>
      <c r="B9" s="127" t="s">
        <v>539</v>
      </c>
      <c r="C9" s="77" t="s">
        <v>540</v>
      </c>
      <c r="D9" s="127" t="s">
        <v>541</v>
      </c>
      <c r="E9" s="127" t="s">
        <v>542</v>
      </c>
      <c r="F9" s="129"/>
      <c r="G9" s="80"/>
      <c r="H9" s="80"/>
    </row>
    <row r="10" spans="1:8" ht="15" customHeight="1" x14ac:dyDescent="0.2">
      <c r="A10" s="92" t="s">
        <v>18</v>
      </c>
      <c r="B10" s="127" t="s">
        <v>543</v>
      </c>
      <c r="C10" s="127"/>
      <c r="D10" s="127" t="s">
        <v>544</v>
      </c>
      <c r="E10" s="157" t="s">
        <v>201</v>
      </c>
      <c r="F10" s="79"/>
      <c r="G10" s="80"/>
      <c r="H10" s="80"/>
    </row>
    <row r="11" spans="1:8" ht="15" customHeight="1" x14ac:dyDescent="0.2">
      <c r="A11" s="93" t="s">
        <v>30</v>
      </c>
      <c r="B11" s="127" t="s">
        <v>545</v>
      </c>
      <c r="C11" s="77" t="s">
        <v>546</v>
      </c>
      <c r="D11" s="127" t="s">
        <v>547</v>
      </c>
      <c r="E11" s="77"/>
      <c r="F11" s="79"/>
      <c r="G11" s="80"/>
      <c r="H11" s="80"/>
    </row>
    <row r="12" spans="1:8" ht="15" customHeight="1" x14ac:dyDescent="0.2">
      <c r="A12" s="82"/>
      <c r="B12" s="77"/>
      <c r="C12" s="77"/>
      <c r="D12" s="77"/>
      <c r="E12" s="77"/>
      <c r="F12" s="79"/>
      <c r="G12" s="80"/>
      <c r="H12" s="80"/>
    </row>
    <row r="13" spans="1:8" ht="15" customHeight="1" x14ac:dyDescent="0.2">
      <c r="A13" s="82"/>
      <c r="B13" s="83"/>
      <c r="C13" s="83"/>
      <c r="D13" s="83"/>
      <c r="E13" s="83"/>
      <c r="F13" s="85"/>
      <c r="G13" s="86"/>
      <c r="H13" s="86"/>
    </row>
    <row r="14" spans="1:8" ht="15" customHeight="1" thickBot="1" x14ac:dyDescent="0.25">
      <c r="A14" s="87" t="s">
        <v>20</v>
      </c>
      <c r="B14" s="237" t="s">
        <v>373</v>
      </c>
      <c r="C14" s="237" t="s">
        <v>373</v>
      </c>
      <c r="D14" s="208" t="s">
        <v>373</v>
      </c>
      <c r="E14" s="209" t="s">
        <v>373</v>
      </c>
      <c r="F14" s="158"/>
      <c r="G14" s="91"/>
      <c r="H14" s="91"/>
    </row>
    <row r="15" spans="1:8" ht="15" customHeight="1" thickTop="1" x14ac:dyDescent="0.2">
      <c r="A15" s="82"/>
      <c r="B15" s="71" t="s">
        <v>548</v>
      </c>
      <c r="C15" s="122" t="s">
        <v>549</v>
      </c>
      <c r="D15" s="157" t="s">
        <v>550</v>
      </c>
      <c r="E15" s="127" t="s">
        <v>551</v>
      </c>
      <c r="F15" s="128" t="s">
        <v>552</v>
      </c>
      <c r="G15" s="80"/>
      <c r="H15" s="80"/>
    </row>
    <row r="16" spans="1:8" ht="15" customHeight="1" x14ac:dyDescent="0.2">
      <c r="A16" s="82"/>
      <c r="B16" s="127" t="s">
        <v>553</v>
      </c>
      <c r="C16" s="127" t="s">
        <v>554</v>
      </c>
      <c r="D16" s="157" t="s">
        <v>555</v>
      </c>
      <c r="E16" s="127" t="s">
        <v>556</v>
      </c>
      <c r="F16" s="129"/>
      <c r="G16" s="80"/>
      <c r="H16" s="80"/>
    </row>
    <row r="17" spans="1:8" ht="15" customHeight="1" x14ac:dyDescent="0.2">
      <c r="A17" s="82"/>
      <c r="B17" s="127" t="s">
        <v>557</v>
      </c>
      <c r="C17" s="127" t="s">
        <v>558</v>
      </c>
      <c r="D17" s="138" t="s">
        <v>25</v>
      </c>
      <c r="E17" s="138" t="s">
        <v>25</v>
      </c>
      <c r="F17" s="79"/>
      <c r="G17" s="80"/>
      <c r="H17" s="80"/>
    </row>
    <row r="18" spans="1:8" ht="15" customHeight="1" x14ac:dyDescent="0.2">
      <c r="A18" s="92" t="s">
        <v>41</v>
      </c>
      <c r="B18" s="77" t="s">
        <v>559</v>
      </c>
      <c r="C18" s="77" t="s">
        <v>438</v>
      </c>
      <c r="D18" s="138" t="s">
        <v>560</v>
      </c>
      <c r="E18" s="127" t="s">
        <v>561</v>
      </c>
      <c r="F18" s="79"/>
      <c r="G18" s="80"/>
      <c r="H18" s="80"/>
    </row>
    <row r="19" spans="1:8" ht="15" customHeight="1" x14ac:dyDescent="0.2">
      <c r="A19" s="93" t="s">
        <v>43</v>
      </c>
      <c r="B19" s="127" t="s">
        <v>441</v>
      </c>
      <c r="C19" s="77"/>
      <c r="D19" s="157" t="s">
        <v>562</v>
      </c>
      <c r="E19" s="77"/>
      <c r="F19" s="79"/>
      <c r="G19" s="80"/>
      <c r="H19" s="80"/>
    </row>
    <row r="20" spans="1:8" x14ac:dyDescent="0.2">
      <c r="A20" s="82"/>
      <c r="B20" s="83"/>
      <c r="C20" s="83"/>
      <c r="D20" s="160" t="s">
        <v>534</v>
      </c>
      <c r="E20" s="83"/>
      <c r="F20" s="85"/>
      <c r="G20" s="86"/>
      <c r="H20" s="86"/>
    </row>
    <row r="21" spans="1:8" ht="13.5" thickBot="1" x14ac:dyDescent="0.25">
      <c r="A21" s="159" t="s">
        <v>20</v>
      </c>
      <c r="B21" s="158" t="s">
        <v>138</v>
      </c>
      <c r="C21" s="158" t="s">
        <v>138</v>
      </c>
      <c r="D21" s="158" t="s">
        <v>138</v>
      </c>
      <c r="E21" s="158" t="s">
        <v>138</v>
      </c>
      <c r="F21" s="207" t="s">
        <v>373</v>
      </c>
      <c r="G21" s="91"/>
      <c r="H21" s="91"/>
    </row>
    <row r="22" spans="1:8" ht="13.5" thickTop="1" x14ac:dyDescent="0.2">
      <c r="A22" s="92" t="s">
        <v>41</v>
      </c>
      <c r="B22" s="77"/>
      <c r="C22" s="77"/>
      <c r="D22" s="127"/>
      <c r="E22" s="77"/>
      <c r="F22" s="79"/>
      <c r="G22" s="80"/>
      <c r="H22" s="80"/>
    </row>
    <row r="23" spans="1:8" x14ac:dyDescent="0.2">
      <c r="A23" s="93" t="s">
        <v>50</v>
      </c>
      <c r="B23" s="77"/>
      <c r="C23" s="77"/>
      <c r="D23" s="77"/>
      <c r="E23" s="77"/>
      <c r="F23" s="79"/>
      <c r="G23" s="80"/>
      <c r="H23" s="80"/>
    </row>
    <row r="24" spans="1:8" x14ac:dyDescent="0.2">
      <c r="A24" s="82"/>
      <c r="B24" s="83"/>
      <c r="C24" s="83"/>
      <c r="D24" s="83"/>
      <c r="E24" s="83"/>
      <c r="F24" s="85"/>
      <c r="G24" s="86"/>
      <c r="H24" s="86"/>
    </row>
    <row r="25" spans="1:8" ht="13.5" thickBot="1" x14ac:dyDescent="0.25">
      <c r="A25" s="87" t="s">
        <v>20</v>
      </c>
      <c r="B25" s="88"/>
      <c r="C25" s="88"/>
      <c r="D25" s="88"/>
      <c r="E25" s="88"/>
      <c r="F25" s="90"/>
      <c r="G25" s="91"/>
      <c r="H25" s="91"/>
    </row>
    <row r="26" spans="1:8" ht="13.5" thickTop="1" x14ac:dyDescent="0.2">
      <c r="A26" s="76"/>
      <c r="B26" s="77"/>
      <c r="C26" s="77"/>
      <c r="D26" s="77" t="s">
        <v>563</v>
      </c>
      <c r="E26" s="77" t="s">
        <v>563</v>
      </c>
      <c r="F26" s="71" t="s">
        <v>563</v>
      </c>
      <c r="G26" s="80"/>
      <c r="H26" s="80"/>
    </row>
    <row r="27" spans="1:8" x14ac:dyDescent="0.2">
      <c r="A27" s="82"/>
      <c r="B27" s="77"/>
      <c r="C27" s="77"/>
      <c r="D27" s="77"/>
      <c r="E27" s="77"/>
      <c r="F27" s="79"/>
      <c r="G27" s="80"/>
      <c r="H27" s="80"/>
    </row>
    <row r="28" spans="1:8" x14ac:dyDescent="0.2">
      <c r="A28" s="92" t="s">
        <v>59</v>
      </c>
      <c r="B28" s="77"/>
      <c r="C28" s="77"/>
      <c r="D28" s="77"/>
      <c r="E28" s="77"/>
      <c r="F28" s="79"/>
      <c r="G28" s="80"/>
      <c r="H28" s="80"/>
    </row>
    <row r="29" spans="1:8" x14ac:dyDescent="0.2">
      <c r="A29" s="93" t="s">
        <v>60</v>
      </c>
      <c r="B29" s="77"/>
      <c r="C29" s="77"/>
      <c r="D29" s="77"/>
      <c r="E29" s="77"/>
      <c r="F29" s="79"/>
      <c r="G29" s="80"/>
      <c r="H29" s="80"/>
    </row>
    <row r="30" spans="1:8" x14ac:dyDescent="0.2">
      <c r="A30" s="92"/>
      <c r="B30" s="94"/>
      <c r="C30" s="94"/>
      <c r="D30" s="94"/>
      <c r="E30" s="94"/>
      <c r="F30" s="96"/>
      <c r="G30" s="97"/>
      <c r="H30" s="97"/>
    </row>
    <row r="31" spans="1:8" ht="13.5" thickBot="1" x14ac:dyDescent="0.25">
      <c r="A31" s="87" t="s">
        <v>20</v>
      </c>
      <c r="B31" s="88"/>
      <c r="C31" s="88"/>
      <c r="D31" s="208" t="s">
        <v>224</v>
      </c>
      <c r="E31" s="208" t="s">
        <v>224</v>
      </c>
      <c r="F31" s="88" t="s">
        <v>224</v>
      </c>
      <c r="G31" s="91"/>
      <c r="H31" s="91"/>
    </row>
    <row r="32" spans="1:8" ht="13.5" thickTop="1" x14ac:dyDescent="0.2">
      <c r="A32" s="76"/>
      <c r="B32" s="77" t="s">
        <v>563</v>
      </c>
      <c r="C32" s="77" t="s">
        <v>563</v>
      </c>
      <c r="D32" s="77"/>
      <c r="E32" s="71"/>
      <c r="F32" s="129" t="s">
        <v>564</v>
      </c>
      <c r="G32" s="80"/>
      <c r="H32" s="80"/>
    </row>
    <row r="33" spans="1:8" x14ac:dyDescent="0.2">
      <c r="A33" s="76"/>
      <c r="B33" s="127"/>
      <c r="C33" s="77"/>
      <c r="D33" s="77"/>
      <c r="E33" s="77"/>
      <c r="F33" s="129" t="s">
        <v>565</v>
      </c>
      <c r="G33" s="80"/>
      <c r="H33" s="80"/>
    </row>
    <row r="34" spans="1:8" x14ac:dyDescent="0.2">
      <c r="A34" s="98"/>
      <c r="B34" s="99"/>
      <c r="C34" s="77"/>
      <c r="D34" s="77"/>
      <c r="E34" s="77"/>
      <c r="F34" s="79" t="s">
        <v>566</v>
      </c>
      <c r="G34" s="80"/>
      <c r="H34" s="80"/>
    </row>
    <row r="35" spans="1:8" x14ac:dyDescent="0.2">
      <c r="A35" s="92" t="s">
        <v>279</v>
      </c>
      <c r="B35" s="77"/>
      <c r="C35" s="77"/>
      <c r="D35" s="77"/>
      <c r="E35" s="77"/>
      <c r="F35" s="79"/>
      <c r="G35" s="80"/>
      <c r="H35" s="80"/>
    </row>
    <row r="36" spans="1:8" x14ac:dyDescent="0.2">
      <c r="A36" s="93" t="s">
        <v>67</v>
      </c>
      <c r="B36" s="77"/>
      <c r="C36" s="77"/>
      <c r="D36" s="77"/>
      <c r="E36" s="77"/>
      <c r="F36" s="79"/>
      <c r="G36" s="80"/>
      <c r="H36" s="80"/>
    </row>
    <row r="37" spans="1:8" x14ac:dyDescent="0.2">
      <c r="A37" s="92"/>
      <c r="B37" s="83"/>
      <c r="C37" s="83"/>
      <c r="D37" s="83"/>
      <c r="E37" s="83"/>
      <c r="F37" s="85"/>
      <c r="G37" s="86"/>
      <c r="H37" s="86"/>
    </row>
    <row r="38" spans="1:8" ht="13.5" thickBot="1" x14ac:dyDescent="0.25">
      <c r="A38" s="87" t="s">
        <v>20</v>
      </c>
      <c r="B38" s="208" t="s">
        <v>224</v>
      </c>
      <c r="C38" s="208" t="s">
        <v>224</v>
      </c>
      <c r="D38" s="88"/>
      <c r="E38" s="88"/>
      <c r="F38" s="158" t="s">
        <v>138</v>
      </c>
      <c r="G38" s="91"/>
      <c r="H38" s="91"/>
    </row>
    <row r="39" spans="1:8" ht="13.5" thickTop="1" x14ac:dyDescent="0.2">
      <c r="A39" s="76"/>
      <c r="B39" s="100"/>
      <c r="C39" s="100"/>
      <c r="D39" s="100"/>
      <c r="E39" s="100"/>
      <c r="F39" s="102"/>
      <c r="G39" s="103"/>
      <c r="H39" s="103"/>
    </row>
    <row r="40" spans="1:8" x14ac:dyDescent="0.2">
      <c r="A40" s="92" t="s">
        <v>71</v>
      </c>
      <c r="B40" s="100"/>
      <c r="C40" s="100"/>
      <c r="D40" s="100"/>
      <c r="E40" s="100"/>
      <c r="F40" s="102"/>
      <c r="G40" s="103"/>
      <c r="H40" s="103"/>
    </row>
    <row r="41" spans="1:8" x14ac:dyDescent="0.2">
      <c r="A41" s="93" t="s">
        <v>72</v>
      </c>
      <c r="B41" s="104"/>
      <c r="C41" s="104"/>
      <c r="D41" s="104"/>
      <c r="E41" s="104"/>
      <c r="F41" s="106"/>
      <c r="G41" s="107"/>
      <c r="H41" s="107"/>
    </row>
    <row r="42" spans="1:8" ht="13.5" thickBot="1" x14ac:dyDescent="0.25">
      <c r="A42" s="87" t="s">
        <v>20</v>
      </c>
      <c r="B42" s="108"/>
      <c r="C42" s="108"/>
      <c r="D42" s="108"/>
      <c r="E42" s="108"/>
      <c r="F42" s="110"/>
      <c r="G42" s="111"/>
      <c r="H42" s="111"/>
    </row>
    <row r="43" spans="1:8" ht="18" customHeight="1" thickTop="1" x14ac:dyDescent="0.2">
      <c r="A43" s="112" t="s">
        <v>280</v>
      </c>
      <c r="B43" s="113"/>
      <c r="C43" s="113"/>
      <c r="D43" s="113" t="s">
        <v>240</v>
      </c>
      <c r="E43" s="113"/>
      <c r="F43" s="113"/>
      <c r="G43" s="113"/>
      <c r="H43" s="113"/>
    </row>
    <row r="44" spans="1:8" x14ac:dyDescent="0.2">
      <c r="A44" s="114" t="s">
        <v>282</v>
      </c>
      <c r="B44" s="113"/>
      <c r="C44" s="113"/>
      <c r="D44" s="113"/>
      <c r="E44" s="113"/>
      <c r="F44" s="113"/>
      <c r="G44" s="113"/>
      <c r="H44" s="113"/>
    </row>
    <row r="45" spans="1:8" x14ac:dyDescent="0.2">
      <c r="A45" s="163" t="s">
        <v>394</v>
      </c>
      <c r="B45" s="164"/>
      <c r="C45" s="164"/>
      <c r="D45" s="164"/>
      <c r="E45" s="164"/>
      <c r="F45" s="164"/>
      <c r="G45" s="113"/>
      <c r="H45" s="113"/>
    </row>
    <row r="46" spans="1:8" x14ac:dyDescent="0.2">
      <c r="A46" s="115"/>
      <c r="B46" s="113"/>
      <c r="C46" s="113"/>
      <c r="D46" s="171"/>
      <c r="E46" s="113"/>
      <c r="F46" s="113"/>
      <c r="G46" s="113"/>
      <c r="H46" s="285" t="s">
        <v>463</v>
      </c>
    </row>
    <row r="47" spans="1:8" ht="13.5" thickBot="1" x14ac:dyDescent="0.25">
      <c r="A47" s="248" t="s">
        <v>75</v>
      </c>
      <c r="B47" s="249" t="s">
        <v>76</v>
      </c>
      <c r="C47" s="113"/>
      <c r="D47" s="171"/>
      <c r="E47" s="113"/>
      <c r="F47" s="113"/>
      <c r="G47" s="113"/>
      <c r="H47" s="113"/>
    </row>
    <row r="48" spans="1:8" ht="13.5" thickTop="1" x14ac:dyDescent="0.2"/>
  </sheetData>
  <printOptions gridLines="1"/>
  <pageMargins left="0.51181102362204722" right="0.11811023622047245" top="0.94488188976377963" bottom="0.39370078740157483" header="0.6692913385826772" footer="0.31496062992125984"/>
  <pageSetup paperSize="9" scale="75" orientation="landscape" r:id="rId1"/>
  <headerFooter alignWithMargins="0">
    <oddHeader>&amp;C2019.06.03-09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0F832-CEED-40D1-A2C9-EFF089BB646F}">
  <dimension ref="A1:I140"/>
  <sheetViews>
    <sheetView zoomScale="80" zoomScaleNormal="80" zoomScaleSheetLayoutView="40" workbookViewId="0">
      <pane ySplit="1" topLeftCell="A5" activePane="bottomLeft" state="frozen"/>
      <selection pane="bottomLeft" activeCell="I25" sqref="I25"/>
    </sheetView>
  </sheetViews>
  <sheetFormatPr defaultColWidth="9.140625" defaultRowHeight="12.75" x14ac:dyDescent="0.2"/>
  <cols>
    <col min="1" max="1" width="10.7109375" style="119" customWidth="1"/>
    <col min="2" max="4" width="30.7109375" style="69" customWidth="1"/>
    <col min="5" max="5" width="28" style="69" customWidth="1"/>
    <col min="6" max="6" width="29.7109375" style="69" customWidth="1"/>
    <col min="7" max="7" width="14.5703125" style="69" customWidth="1"/>
    <col min="8" max="8" width="16" style="69" customWidth="1"/>
    <col min="9" max="9" width="7" style="69" customWidth="1"/>
    <col min="10" max="16384" width="9.140625" style="69"/>
  </cols>
  <sheetData>
    <row r="1" spans="1:9" ht="28.5" customHeight="1" thickTop="1" thickBot="1" x14ac:dyDescent="0.25">
      <c r="A1" s="64" t="s">
        <v>879</v>
      </c>
      <c r="B1" s="65" t="s">
        <v>880</v>
      </c>
      <c r="C1" s="65" t="s">
        <v>881</v>
      </c>
      <c r="D1" s="65" t="s">
        <v>882</v>
      </c>
      <c r="E1" s="65" t="s">
        <v>883</v>
      </c>
      <c r="F1" s="65" t="s">
        <v>884</v>
      </c>
      <c r="G1" s="67" t="s">
        <v>885</v>
      </c>
      <c r="H1" s="67" t="s">
        <v>886</v>
      </c>
      <c r="I1" s="68"/>
    </row>
    <row r="2" spans="1:9" ht="15" customHeight="1" x14ac:dyDescent="0.2">
      <c r="A2" s="70"/>
      <c r="B2" s="71"/>
      <c r="C2" s="122" t="s">
        <v>887</v>
      </c>
      <c r="D2" s="71"/>
      <c r="E2" s="71"/>
      <c r="F2" s="73" t="s">
        <v>888</v>
      </c>
      <c r="G2" s="74"/>
      <c r="H2" s="74"/>
      <c r="I2" s="75"/>
    </row>
    <row r="3" spans="1:9" ht="15" customHeight="1" x14ac:dyDescent="0.2">
      <c r="A3" s="76"/>
      <c r="B3" s="127" t="s">
        <v>889</v>
      </c>
      <c r="C3" s="77"/>
      <c r="D3" s="77"/>
      <c r="E3" s="77"/>
      <c r="F3" s="79" t="s">
        <v>890</v>
      </c>
      <c r="G3" s="80"/>
      <c r="H3" s="80"/>
      <c r="I3" s="75"/>
    </row>
    <row r="4" spans="1:9" ht="15" customHeight="1" x14ac:dyDescent="0.2">
      <c r="A4" s="76" t="s">
        <v>18</v>
      </c>
      <c r="B4" s="77"/>
      <c r="C4" s="77"/>
      <c r="D4" s="77"/>
      <c r="E4" s="77"/>
      <c r="F4" s="79"/>
      <c r="G4" s="80"/>
      <c r="H4" s="80"/>
    </row>
    <row r="5" spans="1:9" ht="15" customHeight="1" x14ac:dyDescent="0.2">
      <c r="A5" s="81" t="s">
        <v>19</v>
      </c>
      <c r="B5" s="77"/>
      <c r="C5" s="77"/>
      <c r="D5" s="77"/>
      <c r="E5" s="77"/>
      <c r="F5" s="79"/>
      <c r="G5" s="80"/>
      <c r="H5" s="80"/>
    </row>
    <row r="6" spans="1:9" ht="15" customHeight="1" x14ac:dyDescent="0.2">
      <c r="A6" s="82"/>
      <c r="B6" s="83"/>
      <c r="C6" s="83"/>
      <c r="D6" s="83"/>
      <c r="E6" s="83"/>
      <c r="F6" s="85"/>
      <c r="G6" s="86"/>
      <c r="H6" s="86"/>
    </row>
    <row r="7" spans="1:9" ht="15" customHeight="1" thickBot="1" x14ac:dyDescent="0.25">
      <c r="A7" s="87" t="s">
        <v>20</v>
      </c>
      <c r="B7" s="88" t="s">
        <v>46</v>
      </c>
      <c r="C7" s="88" t="s">
        <v>46</v>
      </c>
      <c r="D7" s="88"/>
      <c r="E7" s="88"/>
      <c r="F7" s="266" t="s">
        <v>891</v>
      </c>
      <c r="G7" s="91"/>
      <c r="H7" s="91"/>
    </row>
    <row r="8" spans="1:9" ht="15" customHeight="1" thickTop="1" x14ac:dyDescent="0.2">
      <c r="A8" s="82"/>
      <c r="B8" s="79" t="s">
        <v>892</v>
      </c>
      <c r="C8" s="127" t="s">
        <v>262</v>
      </c>
      <c r="D8" s="127" t="s">
        <v>893</v>
      </c>
      <c r="E8" s="127" t="s">
        <v>894</v>
      </c>
      <c r="F8" s="79"/>
      <c r="G8" s="80"/>
      <c r="H8" s="80"/>
    </row>
    <row r="9" spans="1:9" ht="15" customHeight="1" x14ac:dyDescent="0.2">
      <c r="A9" s="82"/>
      <c r="B9" s="77"/>
      <c r="C9" s="79" t="s">
        <v>892</v>
      </c>
      <c r="D9" s="127" t="s">
        <v>895</v>
      </c>
      <c r="E9" s="127" t="s">
        <v>896</v>
      </c>
      <c r="F9" s="129"/>
      <c r="G9" s="80"/>
      <c r="H9" s="80"/>
    </row>
    <row r="10" spans="1:9" ht="15" customHeight="1" x14ac:dyDescent="0.2">
      <c r="A10" s="92" t="s">
        <v>18</v>
      </c>
      <c r="B10" s="77"/>
      <c r="C10" s="77"/>
      <c r="D10" s="77"/>
      <c r="E10" s="77"/>
      <c r="F10" s="79"/>
      <c r="G10" s="80"/>
      <c r="H10" s="80"/>
    </row>
    <row r="11" spans="1:9" ht="15" customHeight="1" x14ac:dyDescent="0.2">
      <c r="A11" s="93" t="s">
        <v>30</v>
      </c>
      <c r="B11" s="77"/>
      <c r="C11" s="77"/>
      <c r="D11" s="77"/>
      <c r="E11" s="77"/>
      <c r="F11" s="79"/>
      <c r="G11" s="80"/>
      <c r="H11" s="80"/>
    </row>
    <row r="12" spans="1:9" ht="15" customHeight="1" x14ac:dyDescent="0.2">
      <c r="A12" s="82"/>
      <c r="B12" s="77"/>
      <c r="C12" s="77"/>
      <c r="D12" s="77"/>
      <c r="E12" s="77"/>
      <c r="F12" s="79"/>
      <c r="G12" s="80"/>
      <c r="H12" s="80"/>
    </row>
    <row r="13" spans="1:9" ht="15" customHeight="1" x14ac:dyDescent="0.2">
      <c r="A13" s="82"/>
      <c r="B13" s="83"/>
      <c r="C13" s="83"/>
      <c r="D13" s="83"/>
      <c r="E13" s="83"/>
      <c r="F13" s="85"/>
      <c r="G13" s="86"/>
      <c r="H13" s="86"/>
    </row>
    <row r="14" spans="1:9" ht="15" customHeight="1" thickBot="1" x14ac:dyDescent="0.25">
      <c r="A14" s="87" t="s">
        <v>20</v>
      </c>
      <c r="B14" s="240" t="s">
        <v>183</v>
      </c>
      <c r="C14" s="240" t="s">
        <v>183</v>
      </c>
      <c r="D14" s="240" t="s">
        <v>183</v>
      </c>
      <c r="E14" s="240" t="s">
        <v>183</v>
      </c>
      <c r="F14" s="88"/>
      <c r="G14" s="91"/>
      <c r="H14" s="91"/>
      <c r="I14" s="277">
        <f>+'07.15-07.21'!I14+4</f>
        <v>14</v>
      </c>
    </row>
    <row r="15" spans="1:9" ht="15" customHeight="1" thickTop="1" x14ac:dyDescent="0.2">
      <c r="A15" s="82"/>
      <c r="B15" s="77" t="s">
        <v>795</v>
      </c>
      <c r="C15" s="127" t="s">
        <v>897</v>
      </c>
      <c r="D15" s="127" t="s">
        <v>898</v>
      </c>
      <c r="E15" s="129" t="s">
        <v>899</v>
      </c>
      <c r="F15" s="129" t="s">
        <v>900</v>
      </c>
      <c r="G15" s="80"/>
      <c r="H15" s="80"/>
    </row>
    <row r="16" spans="1:9" ht="15" customHeight="1" x14ac:dyDescent="0.2">
      <c r="A16" s="82"/>
      <c r="B16" s="77" t="s">
        <v>798</v>
      </c>
      <c r="C16" s="127" t="s">
        <v>901</v>
      </c>
      <c r="D16" s="77" t="s">
        <v>902</v>
      </c>
      <c r="E16" s="127" t="s">
        <v>903</v>
      </c>
      <c r="F16" s="129"/>
      <c r="G16" s="80"/>
      <c r="H16" s="80"/>
    </row>
    <row r="17" spans="1:9" ht="15" customHeight="1" x14ac:dyDescent="0.2">
      <c r="A17" s="92" t="s">
        <v>593</v>
      </c>
      <c r="B17" s="77" t="s">
        <v>904</v>
      </c>
      <c r="C17" s="77"/>
      <c r="D17" s="77"/>
      <c r="E17" s="77" t="s">
        <v>905</v>
      </c>
      <c r="F17" s="79"/>
      <c r="G17" s="80"/>
      <c r="H17" s="80"/>
    </row>
    <row r="18" spans="1:9" ht="15" customHeight="1" x14ac:dyDescent="0.2">
      <c r="A18" s="93">
        <v>602</v>
      </c>
      <c r="B18" s="77"/>
      <c r="C18" s="77"/>
      <c r="D18" s="77"/>
      <c r="E18" s="77"/>
      <c r="F18" s="79"/>
      <c r="G18" s="80"/>
      <c r="H18" s="80"/>
    </row>
    <row r="19" spans="1:9" x14ac:dyDescent="0.2">
      <c r="A19" s="82"/>
      <c r="B19" s="83"/>
      <c r="C19" s="83"/>
      <c r="D19" s="83"/>
      <c r="E19" s="83"/>
      <c r="F19" s="85"/>
      <c r="G19" s="86"/>
      <c r="H19" s="86"/>
    </row>
    <row r="20" spans="1:9" ht="13.5" thickBot="1" x14ac:dyDescent="0.25">
      <c r="A20" s="87" t="s">
        <v>20</v>
      </c>
      <c r="B20" s="266" t="s">
        <v>906</v>
      </c>
      <c r="C20" s="266" t="s">
        <v>810</v>
      </c>
      <c r="D20" s="266" t="s">
        <v>138</v>
      </c>
      <c r="E20" s="266" t="s">
        <v>810</v>
      </c>
      <c r="F20" s="266" t="s">
        <v>138</v>
      </c>
      <c r="G20" s="91"/>
      <c r="H20" s="91"/>
    </row>
    <row r="21" spans="1:9" ht="13.5" thickTop="1" x14ac:dyDescent="0.2">
      <c r="A21" s="82"/>
      <c r="B21" s="127" t="s">
        <v>796</v>
      </c>
      <c r="C21" s="77" t="s">
        <v>907</v>
      </c>
      <c r="D21" s="127" t="s">
        <v>796</v>
      </c>
      <c r="E21" s="129" t="s">
        <v>908</v>
      </c>
      <c r="F21" s="129"/>
      <c r="G21" s="80"/>
      <c r="H21" s="80"/>
    </row>
    <row r="22" spans="1:9" x14ac:dyDescent="0.2">
      <c r="A22" s="82"/>
      <c r="B22" s="77"/>
      <c r="C22" s="77" t="s">
        <v>178</v>
      </c>
      <c r="D22" s="127" t="s">
        <v>909</v>
      </c>
      <c r="E22" s="77"/>
      <c r="F22" s="129"/>
      <c r="G22" s="80"/>
      <c r="H22" s="80"/>
    </row>
    <row r="23" spans="1:9" x14ac:dyDescent="0.2">
      <c r="A23" s="92" t="s">
        <v>593</v>
      </c>
      <c r="B23" s="77"/>
      <c r="C23" s="77" t="s">
        <v>910</v>
      </c>
      <c r="D23" s="127" t="s">
        <v>807</v>
      </c>
      <c r="E23" s="77"/>
      <c r="F23" s="79"/>
      <c r="G23" s="80"/>
      <c r="H23" s="80"/>
    </row>
    <row r="24" spans="1:9" x14ac:dyDescent="0.2">
      <c r="A24" s="93">
        <v>601</v>
      </c>
      <c r="B24" s="77"/>
      <c r="C24" s="77"/>
      <c r="D24" s="77"/>
      <c r="E24" s="77"/>
      <c r="F24" s="79"/>
      <c r="G24" s="80"/>
      <c r="H24" s="80"/>
    </row>
    <row r="25" spans="1:9" x14ac:dyDescent="0.2">
      <c r="A25" s="82"/>
      <c r="B25" s="77"/>
      <c r="C25" s="77"/>
      <c r="D25" s="77"/>
      <c r="E25" s="77"/>
      <c r="F25" s="79"/>
      <c r="G25" s="80"/>
      <c r="H25" s="80"/>
    </row>
    <row r="26" spans="1:9" x14ac:dyDescent="0.2">
      <c r="A26" s="82"/>
      <c r="B26" s="83"/>
      <c r="C26" s="83"/>
      <c r="D26" s="150"/>
      <c r="E26" s="83"/>
      <c r="F26" s="85"/>
      <c r="G26" s="86"/>
      <c r="H26" s="86"/>
    </row>
    <row r="27" spans="1:9" ht="13.5" thickBot="1" x14ac:dyDescent="0.25">
      <c r="A27" s="87" t="s">
        <v>20</v>
      </c>
      <c r="B27" s="240" t="s">
        <v>622</v>
      </c>
      <c r="C27" s="266" t="s">
        <v>911</v>
      </c>
      <c r="D27" s="266" t="s">
        <v>622</v>
      </c>
      <c r="E27" s="266" t="s">
        <v>622</v>
      </c>
      <c r="F27" s="88"/>
      <c r="G27" s="91"/>
      <c r="H27" s="91"/>
      <c r="I27" s="277">
        <f>+'07.15-07.21'!I7+1</f>
        <v>4</v>
      </c>
    </row>
    <row r="28" spans="1:9" ht="13.5" thickTop="1" x14ac:dyDescent="0.2">
      <c r="A28" s="76"/>
      <c r="B28" s="77" t="s">
        <v>912</v>
      </c>
      <c r="C28" s="77" t="s">
        <v>913</v>
      </c>
      <c r="D28" s="127" t="s">
        <v>620</v>
      </c>
      <c r="E28" s="77" t="s">
        <v>914</v>
      </c>
      <c r="F28" s="79" t="s">
        <v>915</v>
      </c>
      <c r="G28" s="80"/>
      <c r="H28" s="80"/>
    </row>
    <row r="29" spans="1:9" x14ac:dyDescent="0.2">
      <c r="A29" s="82"/>
      <c r="B29" s="77" t="s">
        <v>916</v>
      </c>
      <c r="C29" s="77" t="s">
        <v>917</v>
      </c>
      <c r="D29" s="127" t="s">
        <v>918</v>
      </c>
      <c r="E29" s="77" t="s">
        <v>919</v>
      </c>
      <c r="F29" s="79"/>
      <c r="G29" s="80"/>
      <c r="H29" s="80"/>
    </row>
    <row r="30" spans="1:9" x14ac:dyDescent="0.2">
      <c r="A30" s="92" t="s">
        <v>41</v>
      </c>
      <c r="B30" s="127" t="s">
        <v>920</v>
      </c>
      <c r="C30" s="77"/>
      <c r="D30" s="127" t="s">
        <v>921</v>
      </c>
      <c r="E30" s="127" t="s">
        <v>922</v>
      </c>
      <c r="F30" s="79"/>
      <c r="G30" s="80"/>
      <c r="H30" s="80"/>
    </row>
    <row r="31" spans="1:9" x14ac:dyDescent="0.2">
      <c r="A31" s="93" t="s">
        <v>923</v>
      </c>
      <c r="B31" s="77" t="s">
        <v>919</v>
      </c>
      <c r="C31" s="77" t="s">
        <v>914</v>
      </c>
      <c r="D31" s="77" t="s">
        <v>914</v>
      </c>
      <c r="E31" s="127" t="s">
        <v>924</v>
      </c>
      <c r="F31" s="129" t="s">
        <v>925</v>
      </c>
      <c r="G31" s="80"/>
      <c r="H31" s="80"/>
    </row>
    <row r="32" spans="1:9" x14ac:dyDescent="0.2">
      <c r="A32" s="92"/>
      <c r="B32" s="77" t="s">
        <v>914</v>
      </c>
      <c r="C32" s="77" t="s">
        <v>919</v>
      </c>
      <c r="D32" s="77" t="s">
        <v>919</v>
      </c>
      <c r="E32" s="77"/>
      <c r="F32" s="79"/>
      <c r="G32" s="80"/>
      <c r="H32" s="80"/>
    </row>
    <row r="33" spans="1:8" x14ac:dyDescent="0.2">
      <c r="A33" s="92"/>
      <c r="B33" s="94"/>
      <c r="C33" s="94"/>
      <c r="D33" s="94"/>
      <c r="E33" s="94"/>
      <c r="F33" s="96"/>
      <c r="G33" s="97"/>
      <c r="H33" s="97"/>
    </row>
    <row r="34" spans="1:8" ht="13.5" thickBot="1" x14ac:dyDescent="0.25">
      <c r="A34" s="87" t="s">
        <v>20</v>
      </c>
      <c r="B34" s="266" t="s">
        <v>727</v>
      </c>
      <c r="C34" s="266" t="s">
        <v>727</v>
      </c>
      <c r="D34" s="266" t="s">
        <v>727</v>
      </c>
      <c r="E34" s="266" t="s">
        <v>727</v>
      </c>
      <c r="F34" s="266" t="s">
        <v>874</v>
      </c>
      <c r="G34" s="91"/>
      <c r="H34" s="91"/>
    </row>
    <row r="35" spans="1:8" ht="13.5" thickTop="1" x14ac:dyDescent="0.2">
      <c r="A35" s="76"/>
      <c r="B35" s="77"/>
      <c r="C35" s="77"/>
      <c r="D35" s="77"/>
      <c r="E35" s="77"/>
      <c r="F35" s="79"/>
      <c r="G35" s="80"/>
      <c r="H35" s="80"/>
    </row>
    <row r="36" spans="1:8" x14ac:dyDescent="0.2">
      <c r="A36" s="98"/>
      <c r="B36" s="99"/>
      <c r="C36" s="77"/>
      <c r="D36" s="77"/>
      <c r="E36" s="77"/>
      <c r="F36" s="79"/>
      <c r="G36" s="80"/>
      <c r="H36" s="80"/>
    </row>
    <row r="37" spans="1:8" x14ac:dyDescent="0.2">
      <c r="A37" s="92" t="s">
        <v>279</v>
      </c>
      <c r="B37" s="77"/>
      <c r="C37" s="77"/>
      <c r="D37" s="77"/>
      <c r="E37" s="77"/>
      <c r="F37" s="79"/>
      <c r="G37" s="80"/>
      <c r="H37" s="80"/>
    </row>
    <row r="38" spans="1:8" x14ac:dyDescent="0.2">
      <c r="A38" s="93" t="s">
        <v>67</v>
      </c>
      <c r="B38" s="77"/>
      <c r="C38" s="77"/>
      <c r="D38" s="77"/>
      <c r="E38" s="77"/>
      <c r="F38" s="79"/>
      <c r="G38" s="80"/>
      <c r="H38" s="80"/>
    </row>
    <row r="39" spans="1:8" x14ac:dyDescent="0.2">
      <c r="A39" s="92"/>
      <c r="B39" s="83"/>
      <c r="C39" s="83"/>
      <c r="D39" s="83"/>
      <c r="E39" s="83"/>
      <c r="F39" s="85"/>
      <c r="G39" s="86"/>
      <c r="H39" s="86"/>
    </row>
    <row r="40" spans="1:8" ht="13.5" thickBot="1" x14ac:dyDescent="0.25">
      <c r="A40" s="87" t="s">
        <v>20</v>
      </c>
      <c r="B40" s="88"/>
      <c r="C40" s="88"/>
      <c r="D40" s="88"/>
      <c r="E40" s="88"/>
      <c r="F40" s="90"/>
      <c r="G40" s="91"/>
      <c r="H40" s="91"/>
    </row>
    <row r="41" spans="1:8" ht="13.5" thickTop="1" x14ac:dyDescent="0.2">
      <c r="A41" s="76"/>
      <c r="B41" s="100"/>
      <c r="C41" s="100"/>
      <c r="D41" s="100"/>
      <c r="E41" s="100"/>
      <c r="F41" s="102"/>
      <c r="G41" s="103"/>
      <c r="H41" s="103"/>
    </row>
    <row r="42" spans="1:8" x14ac:dyDescent="0.2">
      <c r="A42" s="92" t="s">
        <v>71</v>
      </c>
      <c r="B42" s="100"/>
      <c r="C42" s="100"/>
      <c r="D42" s="100"/>
      <c r="E42" s="100"/>
      <c r="F42" s="102"/>
      <c r="G42" s="103"/>
      <c r="H42" s="103"/>
    </row>
    <row r="43" spans="1:8" x14ac:dyDescent="0.2">
      <c r="A43" s="93" t="s">
        <v>72</v>
      </c>
      <c r="B43" s="104"/>
      <c r="C43" s="104"/>
      <c r="D43" s="104"/>
      <c r="E43" s="104"/>
      <c r="F43" s="106"/>
      <c r="G43" s="107"/>
      <c r="H43" s="107"/>
    </row>
    <row r="44" spans="1:8" ht="13.5" thickBot="1" x14ac:dyDescent="0.25">
      <c r="A44" s="87" t="s">
        <v>20</v>
      </c>
      <c r="B44" s="108"/>
      <c r="C44" s="108"/>
      <c r="D44" s="108"/>
      <c r="E44" s="108"/>
      <c r="F44" s="110"/>
      <c r="G44" s="111"/>
      <c r="H44" s="111"/>
    </row>
    <row r="45" spans="1:8" ht="13.5" thickTop="1" x14ac:dyDescent="0.2">
      <c r="A45" s="112" t="s">
        <v>280</v>
      </c>
      <c r="B45" s="113" t="s">
        <v>211</v>
      </c>
      <c r="C45" s="113" t="s">
        <v>211</v>
      </c>
      <c r="D45" s="113" t="s">
        <v>211</v>
      </c>
      <c r="E45" s="113" t="s">
        <v>926</v>
      </c>
      <c r="F45" s="113" t="s">
        <v>927</v>
      </c>
      <c r="G45" s="113"/>
      <c r="H45" s="113"/>
    </row>
    <row r="46" spans="1:8" x14ac:dyDescent="0.2">
      <c r="A46" s="114" t="s">
        <v>282</v>
      </c>
      <c r="B46" s="113"/>
      <c r="C46" s="113"/>
      <c r="D46" s="113"/>
      <c r="E46" s="113"/>
      <c r="F46" s="113"/>
      <c r="G46" s="113"/>
      <c r="H46" s="113"/>
    </row>
    <row r="47" spans="1:8" x14ac:dyDescent="0.2">
      <c r="A47" s="163" t="s">
        <v>394</v>
      </c>
      <c r="B47" s="164"/>
      <c r="C47" s="164"/>
      <c r="D47" s="164"/>
      <c r="E47" s="164"/>
      <c r="F47" s="164"/>
      <c r="G47" s="113"/>
      <c r="H47" s="113"/>
    </row>
    <row r="48" spans="1:8" x14ac:dyDescent="0.2">
      <c r="A48" s="115"/>
      <c r="B48" s="113"/>
      <c r="C48" s="113"/>
      <c r="D48" s="113"/>
      <c r="E48" s="113"/>
      <c r="F48" s="113"/>
      <c r="G48" s="113"/>
      <c r="H48" s="113"/>
    </row>
    <row r="49" spans="1:9" ht="13.5" thickBot="1" x14ac:dyDescent="0.25">
      <c r="A49" s="248" t="s">
        <v>75</v>
      </c>
      <c r="B49" s="271" t="s">
        <v>76</v>
      </c>
      <c r="C49" s="113"/>
      <c r="D49" s="113"/>
      <c r="E49" s="113"/>
      <c r="F49" s="113"/>
      <c r="G49" s="113"/>
      <c r="H49" s="285" t="s">
        <v>463</v>
      </c>
      <c r="I49" s="286">
        <f>SUM(I3:I48)</f>
        <v>18</v>
      </c>
    </row>
    <row r="50" spans="1:9" ht="13.5" thickTop="1" x14ac:dyDescent="0.2">
      <c r="A50" s="115"/>
      <c r="B50" s="116"/>
      <c r="C50" s="116"/>
      <c r="D50" s="116"/>
      <c r="E50" s="116"/>
      <c r="F50" s="116"/>
      <c r="G50" s="116"/>
      <c r="H50" s="116"/>
    </row>
    <row r="51" spans="1:9" x14ac:dyDescent="0.2">
      <c r="A51" s="117"/>
      <c r="B51" s="116"/>
      <c r="C51" s="116"/>
      <c r="D51" s="116"/>
      <c r="E51" s="116"/>
      <c r="F51" s="116"/>
      <c r="G51" s="116"/>
      <c r="H51" s="116"/>
    </row>
    <row r="52" spans="1:9" x14ac:dyDescent="0.2">
      <c r="A52" s="117"/>
      <c r="B52" s="116"/>
      <c r="C52" s="116"/>
      <c r="D52" s="116"/>
      <c r="E52" s="116"/>
      <c r="F52" s="116"/>
      <c r="G52" s="116"/>
      <c r="H52" s="116"/>
    </row>
    <row r="53" spans="1:9" x14ac:dyDescent="0.2">
      <c r="A53" s="115"/>
      <c r="B53" s="118"/>
      <c r="C53" s="118"/>
      <c r="D53" s="118"/>
      <c r="E53" s="118"/>
      <c r="F53" s="118"/>
      <c r="G53" s="118"/>
      <c r="H53" s="118"/>
    </row>
    <row r="54" spans="1:9" x14ac:dyDescent="0.2">
      <c r="A54" s="115"/>
      <c r="B54" s="118"/>
      <c r="C54" s="118"/>
      <c r="D54" s="118"/>
      <c r="E54" s="118"/>
      <c r="F54" s="118"/>
      <c r="G54" s="118"/>
      <c r="H54" s="118"/>
    </row>
    <row r="55" spans="1:9" x14ac:dyDescent="0.2">
      <c r="A55" s="115"/>
      <c r="B55" s="118"/>
      <c r="C55" s="118"/>
      <c r="D55" s="118"/>
      <c r="E55" s="118"/>
      <c r="F55" s="118"/>
      <c r="G55" s="118"/>
      <c r="H55" s="118"/>
    </row>
    <row r="56" spans="1:9" x14ac:dyDescent="0.2">
      <c r="A56" s="115"/>
      <c r="B56" s="118"/>
      <c r="C56" s="118"/>
      <c r="D56" s="118"/>
      <c r="E56" s="118"/>
      <c r="F56" s="118"/>
      <c r="G56" s="118"/>
      <c r="H56" s="118"/>
    </row>
    <row r="57" spans="1:9" x14ac:dyDescent="0.2">
      <c r="A57" s="115"/>
      <c r="B57" s="118"/>
      <c r="C57" s="118"/>
      <c r="D57" s="118"/>
      <c r="E57" s="118"/>
      <c r="F57" s="118"/>
      <c r="G57" s="118"/>
      <c r="H57" s="118"/>
    </row>
    <row r="58" spans="1:9" x14ac:dyDescent="0.2">
      <c r="A58" s="115"/>
      <c r="B58" s="118"/>
      <c r="C58" s="118"/>
      <c r="D58" s="118"/>
      <c r="E58" s="118"/>
      <c r="F58" s="118"/>
      <c r="G58" s="118"/>
      <c r="H58" s="118"/>
    </row>
    <row r="59" spans="1:9" x14ac:dyDescent="0.2">
      <c r="A59" s="115"/>
      <c r="B59" s="118"/>
      <c r="C59" s="118"/>
      <c r="D59" s="118"/>
      <c r="E59" s="118"/>
      <c r="F59" s="118"/>
      <c r="G59" s="118"/>
      <c r="H59" s="118"/>
    </row>
    <row r="60" spans="1:9" x14ac:dyDescent="0.2">
      <c r="A60" s="117"/>
      <c r="B60" s="118"/>
      <c r="C60" s="118"/>
      <c r="D60" s="118"/>
      <c r="E60" s="118"/>
      <c r="F60" s="118"/>
      <c r="G60" s="118"/>
      <c r="H60" s="118"/>
    </row>
    <row r="61" spans="1:9" x14ac:dyDescent="0.2">
      <c r="A61" s="117"/>
      <c r="B61" s="118"/>
      <c r="C61" s="118"/>
      <c r="D61" s="118"/>
      <c r="E61" s="118"/>
      <c r="F61" s="118"/>
      <c r="G61" s="118"/>
      <c r="H61" s="118"/>
    </row>
    <row r="62" spans="1:9" x14ac:dyDescent="0.2">
      <c r="A62" s="115"/>
      <c r="B62" s="118"/>
      <c r="C62" s="118"/>
      <c r="D62" s="118"/>
      <c r="E62" s="118"/>
      <c r="F62" s="118"/>
      <c r="G62" s="118"/>
      <c r="H62" s="118"/>
    </row>
    <row r="63" spans="1:9" x14ac:dyDescent="0.2">
      <c r="A63" s="115"/>
      <c r="B63" s="118"/>
      <c r="C63" s="118"/>
      <c r="D63" s="118"/>
      <c r="E63" s="118"/>
      <c r="F63" s="118"/>
      <c r="G63" s="118"/>
      <c r="H63" s="118"/>
    </row>
    <row r="64" spans="1:9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</sheetData>
  <printOptions gridLines="1"/>
  <pageMargins left="0.51181102362204722" right="0.11811023622047245" top="0.94488188976377963" bottom="0.39370078740157483" header="0.6692913385826772" footer="0.31496062992125984"/>
  <pageSetup paperSize="9" scale="75" orientation="landscape" r:id="rId1"/>
  <headerFooter alignWithMargins="0">
    <oddHeader>&amp;C2019.07.22-28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Munka25"/>
  <dimension ref="A1:I140"/>
  <sheetViews>
    <sheetView zoomScale="80" zoomScaleNormal="80" zoomScaleSheetLayoutView="40" workbookViewId="0">
      <pane ySplit="1" topLeftCell="A2" activePane="bottomLeft" state="frozen"/>
      <selection pane="bottomLeft" activeCell="E25" sqref="E25"/>
    </sheetView>
  </sheetViews>
  <sheetFormatPr defaultColWidth="9.140625" defaultRowHeight="12.75" x14ac:dyDescent="0.2"/>
  <cols>
    <col min="1" max="1" width="10.7109375" style="119" customWidth="1"/>
    <col min="2" max="6" width="30.7109375" style="69" customWidth="1"/>
    <col min="7" max="8" width="20.7109375" style="69" customWidth="1"/>
    <col min="9" max="9" width="30.7109375" style="69" customWidth="1"/>
    <col min="10" max="16384" width="9.140625" style="69"/>
  </cols>
  <sheetData>
    <row r="1" spans="1:9" ht="28.5" customHeight="1" thickTop="1" thickBot="1" x14ac:dyDescent="0.25">
      <c r="A1" s="64" t="s">
        <v>1071</v>
      </c>
      <c r="B1" s="65" t="s">
        <v>1072</v>
      </c>
      <c r="C1" s="65" t="s">
        <v>1073</v>
      </c>
      <c r="D1" s="65" t="s">
        <v>1074</v>
      </c>
      <c r="E1" s="65" t="s">
        <v>1075</v>
      </c>
      <c r="F1" s="65" t="s">
        <v>1076</v>
      </c>
      <c r="G1" s="67" t="s">
        <v>1077</v>
      </c>
      <c r="H1" s="67" t="s">
        <v>1078</v>
      </c>
      <c r="I1" s="68"/>
    </row>
    <row r="2" spans="1:9" ht="15" customHeight="1" x14ac:dyDescent="0.2">
      <c r="A2" s="70"/>
      <c r="B2" s="71"/>
      <c r="C2" s="71"/>
      <c r="D2" s="71"/>
      <c r="E2" s="71"/>
      <c r="F2" s="73"/>
      <c r="G2" s="74"/>
      <c r="H2" s="74"/>
      <c r="I2" s="75"/>
    </row>
    <row r="3" spans="1:9" ht="15" customHeight="1" x14ac:dyDescent="0.2">
      <c r="A3" s="76"/>
      <c r="B3" s="77"/>
      <c r="C3" s="77"/>
      <c r="D3" s="77"/>
      <c r="E3" s="77"/>
      <c r="F3" s="79"/>
      <c r="G3" s="80"/>
      <c r="H3" s="80"/>
      <c r="I3" s="75"/>
    </row>
    <row r="4" spans="1:9" ht="15" customHeight="1" x14ac:dyDescent="0.2">
      <c r="A4" s="76" t="s">
        <v>18</v>
      </c>
      <c r="B4" s="77"/>
      <c r="C4" s="77"/>
      <c r="D4" s="77"/>
      <c r="E4" s="77"/>
      <c r="F4" s="79"/>
      <c r="G4" s="80"/>
      <c r="H4" s="80"/>
    </row>
    <row r="5" spans="1:9" ht="15" customHeight="1" x14ac:dyDescent="0.2">
      <c r="A5" s="81" t="s">
        <v>19</v>
      </c>
      <c r="B5" s="77"/>
      <c r="C5" s="77"/>
      <c r="D5" s="77"/>
      <c r="E5" s="77"/>
      <c r="F5" s="79"/>
      <c r="G5" s="80"/>
      <c r="H5" s="80"/>
    </row>
    <row r="6" spans="1:9" ht="15" customHeight="1" x14ac:dyDescent="0.2">
      <c r="A6" s="82"/>
      <c r="B6" s="83"/>
      <c r="C6" s="83"/>
      <c r="D6" s="83"/>
      <c r="E6" s="83"/>
      <c r="F6" s="85"/>
      <c r="G6" s="86"/>
      <c r="H6" s="86"/>
    </row>
    <row r="7" spans="1:9" ht="15" customHeight="1" thickBot="1" x14ac:dyDescent="0.25">
      <c r="A7" s="87" t="s">
        <v>20</v>
      </c>
      <c r="B7" s="88"/>
      <c r="C7" s="88"/>
      <c r="D7" s="88"/>
      <c r="E7" s="88"/>
      <c r="F7" s="90"/>
      <c r="G7" s="91"/>
      <c r="H7" s="91"/>
    </row>
    <row r="8" spans="1:9" ht="15" customHeight="1" thickTop="1" x14ac:dyDescent="0.2">
      <c r="A8" s="82"/>
      <c r="B8" s="77"/>
      <c r="C8" s="77"/>
      <c r="D8" s="77"/>
      <c r="E8" s="77"/>
      <c r="F8" s="79"/>
      <c r="G8" s="80"/>
      <c r="H8" s="80"/>
    </row>
    <row r="9" spans="1:9" ht="15" customHeight="1" x14ac:dyDescent="0.2">
      <c r="A9" s="82"/>
      <c r="B9" s="77"/>
      <c r="C9" s="77"/>
      <c r="D9" s="77"/>
      <c r="E9" s="77"/>
      <c r="F9" s="79"/>
      <c r="G9" s="80"/>
      <c r="H9" s="80"/>
    </row>
    <row r="10" spans="1:9" ht="15" customHeight="1" x14ac:dyDescent="0.2">
      <c r="A10" s="92" t="s">
        <v>18</v>
      </c>
      <c r="B10" s="77"/>
      <c r="C10" s="77"/>
      <c r="D10" s="77"/>
      <c r="E10" s="77"/>
      <c r="F10" s="79"/>
      <c r="G10" s="80"/>
      <c r="H10" s="80"/>
    </row>
    <row r="11" spans="1:9" ht="15" customHeight="1" x14ac:dyDescent="0.2">
      <c r="A11" s="93" t="s">
        <v>30</v>
      </c>
      <c r="B11" s="77"/>
      <c r="C11" s="77"/>
      <c r="D11" s="77"/>
      <c r="E11" s="77"/>
      <c r="F11" s="79"/>
      <c r="G11" s="80"/>
      <c r="H11" s="80"/>
    </row>
    <row r="12" spans="1:9" ht="15" customHeight="1" x14ac:dyDescent="0.2">
      <c r="A12" s="82"/>
      <c r="B12" s="77"/>
      <c r="C12" s="77"/>
      <c r="D12" s="77"/>
      <c r="E12" s="77"/>
      <c r="F12" s="79"/>
      <c r="G12" s="80"/>
      <c r="H12" s="80"/>
    </row>
    <row r="13" spans="1:9" ht="15" customHeight="1" x14ac:dyDescent="0.2">
      <c r="A13" s="82"/>
      <c r="B13" s="83"/>
      <c r="C13" s="83"/>
      <c r="D13" s="83"/>
      <c r="E13" s="83"/>
      <c r="F13" s="85"/>
      <c r="G13" s="86"/>
      <c r="H13" s="86"/>
    </row>
    <row r="14" spans="1:9" ht="15" customHeight="1" thickBot="1" x14ac:dyDescent="0.25">
      <c r="A14" s="87" t="s">
        <v>20</v>
      </c>
      <c r="B14" s="88"/>
      <c r="C14" s="88"/>
      <c r="D14" s="88"/>
      <c r="E14" s="88"/>
      <c r="F14" s="90"/>
      <c r="G14" s="91"/>
      <c r="H14" s="91"/>
    </row>
    <row r="15" spans="1:9" ht="15" customHeight="1" thickTop="1" x14ac:dyDescent="0.2">
      <c r="A15" s="82"/>
      <c r="B15" s="77"/>
      <c r="C15" s="77"/>
      <c r="D15" s="77"/>
      <c r="E15" s="77"/>
      <c r="F15" s="79"/>
      <c r="G15" s="80"/>
      <c r="H15" s="80"/>
    </row>
    <row r="16" spans="1:9" ht="15" customHeight="1" x14ac:dyDescent="0.2">
      <c r="A16" s="82"/>
      <c r="B16" s="77"/>
      <c r="C16" s="77"/>
      <c r="D16" s="77"/>
      <c r="E16" s="77"/>
      <c r="F16" s="79"/>
      <c r="G16" s="80"/>
      <c r="H16" s="80"/>
    </row>
    <row r="17" spans="1:8" ht="15" customHeight="1" x14ac:dyDescent="0.2">
      <c r="A17" s="92" t="s">
        <v>41</v>
      </c>
      <c r="B17" s="77"/>
      <c r="C17" s="77"/>
      <c r="D17" s="77"/>
      <c r="E17" s="77"/>
      <c r="F17" s="79"/>
      <c r="G17" s="80"/>
      <c r="H17" s="80"/>
    </row>
    <row r="18" spans="1:8" ht="15" customHeight="1" x14ac:dyDescent="0.2">
      <c r="A18" s="93" t="s">
        <v>43</v>
      </c>
      <c r="B18" s="77"/>
      <c r="C18" s="77"/>
      <c r="D18" s="77"/>
      <c r="E18" s="77"/>
      <c r="F18" s="79"/>
      <c r="G18" s="80"/>
      <c r="H18" s="80"/>
    </row>
    <row r="19" spans="1:8" x14ac:dyDescent="0.2">
      <c r="A19" s="82"/>
      <c r="B19" s="83"/>
      <c r="C19" s="83"/>
      <c r="D19" s="83"/>
      <c r="E19" s="83"/>
      <c r="F19" s="85"/>
      <c r="G19" s="86"/>
      <c r="H19" s="86"/>
    </row>
    <row r="20" spans="1:8" ht="13.5" thickBot="1" x14ac:dyDescent="0.25">
      <c r="A20" s="87" t="s">
        <v>20</v>
      </c>
      <c r="B20" s="88"/>
      <c r="C20" s="88"/>
      <c r="D20" s="88"/>
      <c r="E20" s="88"/>
      <c r="F20" s="90"/>
      <c r="G20" s="91"/>
      <c r="H20" s="91"/>
    </row>
    <row r="21" spans="1:8" ht="13.5" thickTop="1" x14ac:dyDescent="0.2">
      <c r="A21" s="82"/>
      <c r="B21" s="77"/>
      <c r="C21" s="77"/>
      <c r="D21" s="77"/>
      <c r="E21" s="77"/>
      <c r="F21" s="79"/>
      <c r="G21" s="80"/>
      <c r="H21" s="80"/>
    </row>
    <row r="22" spans="1:8" x14ac:dyDescent="0.2">
      <c r="A22" s="82"/>
      <c r="B22" s="77"/>
      <c r="C22" s="77"/>
      <c r="D22" s="77"/>
      <c r="E22" s="77"/>
      <c r="F22" s="79"/>
      <c r="G22" s="80"/>
      <c r="H22" s="80"/>
    </row>
    <row r="23" spans="1:8" x14ac:dyDescent="0.2">
      <c r="A23" s="92" t="s">
        <v>41</v>
      </c>
      <c r="B23" s="77"/>
      <c r="C23" s="77"/>
      <c r="D23" s="77"/>
      <c r="E23" s="77"/>
      <c r="F23" s="79"/>
      <c r="G23" s="80"/>
      <c r="H23" s="80"/>
    </row>
    <row r="24" spans="1:8" x14ac:dyDescent="0.2">
      <c r="A24" s="93" t="s">
        <v>50</v>
      </c>
      <c r="B24" s="77"/>
      <c r="C24" s="77"/>
      <c r="D24" s="77"/>
      <c r="E24" s="77"/>
      <c r="F24" s="79"/>
      <c r="G24" s="80"/>
      <c r="H24" s="80"/>
    </row>
    <row r="25" spans="1:8" x14ac:dyDescent="0.2">
      <c r="A25" s="82"/>
      <c r="B25" s="77"/>
      <c r="C25" s="77"/>
      <c r="D25" s="77"/>
      <c r="E25" s="77"/>
      <c r="F25" s="79"/>
      <c r="G25" s="80"/>
      <c r="H25" s="80"/>
    </row>
    <row r="26" spans="1:8" x14ac:dyDescent="0.2">
      <c r="A26" s="82"/>
      <c r="B26" s="83"/>
      <c r="C26" s="83"/>
      <c r="D26" s="83"/>
      <c r="E26" s="83"/>
      <c r="F26" s="85"/>
      <c r="G26" s="86"/>
      <c r="H26" s="86"/>
    </row>
    <row r="27" spans="1:8" ht="13.5" thickBot="1" x14ac:dyDescent="0.25">
      <c r="A27" s="87" t="s">
        <v>20</v>
      </c>
      <c r="B27" s="88"/>
      <c r="C27" s="88"/>
      <c r="D27" s="88"/>
      <c r="E27" s="88"/>
      <c r="F27" s="90"/>
      <c r="G27" s="91"/>
      <c r="H27" s="91"/>
    </row>
    <row r="28" spans="1:8" ht="13.5" thickTop="1" x14ac:dyDescent="0.2">
      <c r="A28" s="76"/>
      <c r="B28" s="77"/>
      <c r="C28" s="77"/>
      <c r="D28" s="77"/>
      <c r="E28" s="77"/>
      <c r="F28" s="79"/>
      <c r="G28" s="80"/>
      <c r="H28" s="80"/>
    </row>
    <row r="29" spans="1:8" x14ac:dyDescent="0.2">
      <c r="A29" s="82"/>
      <c r="B29" s="77"/>
      <c r="C29" s="77"/>
      <c r="D29" s="77"/>
      <c r="E29" s="77"/>
      <c r="F29" s="79"/>
      <c r="G29" s="80"/>
      <c r="H29" s="80"/>
    </row>
    <row r="30" spans="1:8" x14ac:dyDescent="0.2">
      <c r="A30" s="92" t="s">
        <v>59</v>
      </c>
      <c r="B30" s="77"/>
      <c r="C30" s="77"/>
      <c r="D30" s="77"/>
      <c r="E30" s="77"/>
      <c r="F30" s="79"/>
      <c r="G30" s="80"/>
      <c r="H30" s="80"/>
    </row>
    <row r="31" spans="1:8" x14ac:dyDescent="0.2">
      <c r="A31" s="93" t="s">
        <v>60</v>
      </c>
      <c r="B31" s="77"/>
      <c r="C31" s="77"/>
      <c r="D31" s="77"/>
      <c r="E31" s="77"/>
      <c r="F31" s="79"/>
      <c r="G31" s="80"/>
      <c r="H31" s="80"/>
    </row>
    <row r="32" spans="1:8" x14ac:dyDescent="0.2">
      <c r="A32" s="92"/>
      <c r="B32" s="77"/>
      <c r="C32" s="77"/>
      <c r="D32" s="77"/>
      <c r="E32" s="77"/>
      <c r="F32" s="79"/>
      <c r="G32" s="80"/>
      <c r="H32" s="80"/>
    </row>
    <row r="33" spans="1:8" x14ac:dyDescent="0.2">
      <c r="A33" s="92"/>
      <c r="B33" s="94"/>
      <c r="C33" s="94"/>
      <c r="D33" s="94"/>
      <c r="E33" s="94"/>
      <c r="F33" s="96"/>
      <c r="G33" s="97"/>
      <c r="H33" s="97"/>
    </row>
    <row r="34" spans="1:8" ht="13.5" thickBot="1" x14ac:dyDescent="0.25">
      <c r="A34" s="87" t="s">
        <v>20</v>
      </c>
      <c r="B34" s="88"/>
      <c r="C34" s="88"/>
      <c r="D34" s="88"/>
      <c r="E34" s="88"/>
      <c r="F34" s="90"/>
      <c r="G34" s="91"/>
      <c r="H34" s="91"/>
    </row>
    <row r="35" spans="1:8" ht="13.5" thickTop="1" x14ac:dyDescent="0.2">
      <c r="A35" s="76"/>
      <c r="B35" s="77"/>
      <c r="C35" s="77"/>
      <c r="D35" s="77"/>
      <c r="E35" s="77"/>
      <c r="F35" s="79"/>
      <c r="G35" s="80"/>
      <c r="H35" s="80"/>
    </row>
    <row r="36" spans="1:8" x14ac:dyDescent="0.2">
      <c r="A36" s="98"/>
      <c r="B36" s="99"/>
      <c r="C36" s="77"/>
      <c r="D36" s="77"/>
      <c r="E36" s="77"/>
      <c r="F36" s="79"/>
      <c r="G36" s="80"/>
      <c r="H36" s="80"/>
    </row>
    <row r="37" spans="1:8" x14ac:dyDescent="0.2">
      <c r="A37" s="92" t="s">
        <v>279</v>
      </c>
      <c r="B37" s="77"/>
      <c r="C37" s="77"/>
      <c r="D37" s="77"/>
      <c r="E37" s="77"/>
      <c r="F37" s="79"/>
      <c r="G37" s="80"/>
      <c r="H37" s="80"/>
    </row>
    <row r="38" spans="1:8" x14ac:dyDescent="0.2">
      <c r="A38" s="93" t="s">
        <v>67</v>
      </c>
      <c r="B38" s="77"/>
      <c r="C38" s="77"/>
      <c r="D38" s="77"/>
      <c r="E38" s="77"/>
      <c r="F38" s="79"/>
      <c r="G38" s="80"/>
      <c r="H38" s="80"/>
    </row>
    <row r="39" spans="1:8" x14ac:dyDescent="0.2">
      <c r="A39" s="92"/>
      <c r="B39" s="83"/>
      <c r="C39" s="83"/>
      <c r="D39" s="83"/>
      <c r="E39" s="83"/>
      <c r="F39" s="85"/>
      <c r="G39" s="86"/>
      <c r="H39" s="86"/>
    </row>
    <row r="40" spans="1:8" ht="13.5" thickBot="1" x14ac:dyDescent="0.25">
      <c r="A40" s="87" t="s">
        <v>20</v>
      </c>
      <c r="B40" s="88"/>
      <c r="C40" s="88"/>
      <c r="D40" s="88"/>
      <c r="E40" s="88"/>
      <c r="F40" s="90"/>
      <c r="G40" s="91"/>
      <c r="H40" s="91"/>
    </row>
    <row r="41" spans="1:8" ht="13.5" thickTop="1" x14ac:dyDescent="0.2">
      <c r="A41" s="76"/>
      <c r="B41" s="100"/>
      <c r="C41" s="100"/>
      <c r="D41" s="100"/>
      <c r="E41" s="100"/>
      <c r="F41" s="102"/>
      <c r="G41" s="103"/>
      <c r="H41" s="103"/>
    </row>
    <row r="42" spans="1:8" x14ac:dyDescent="0.2">
      <c r="A42" s="92" t="s">
        <v>71</v>
      </c>
      <c r="B42" s="100"/>
      <c r="C42" s="100"/>
      <c r="D42" s="100"/>
      <c r="E42" s="100"/>
      <c r="F42" s="102"/>
      <c r="G42" s="103"/>
      <c r="H42" s="103"/>
    </row>
    <row r="43" spans="1:8" x14ac:dyDescent="0.2">
      <c r="A43" s="93" t="s">
        <v>72</v>
      </c>
      <c r="B43" s="104"/>
      <c r="C43" s="104"/>
      <c r="D43" s="104"/>
      <c r="E43" s="104"/>
      <c r="F43" s="106"/>
      <c r="G43" s="107"/>
      <c r="H43" s="107"/>
    </row>
    <row r="44" spans="1:8" ht="13.5" thickBot="1" x14ac:dyDescent="0.25">
      <c r="A44" s="87" t="s">
        <v>20</v>
      </c>
      <c r="B44" s="108"/>
      <c r="C44" s="108"/>
      <c r="D44" s="108"/>
      <c r="E44" s="108"/>
      <c r="F44" s="110"/>
      <c r="G44" s="111"/>
      <c r="H44" s="111"/>
    </row>
    <row r="45" spans="1:8" ht="13.5" thickTop="1" x14ac:dyDescent="0.2">
      <c r="A45" s="112" t="s">
        <v>280</v>
      </c>
      <c r="B45" s="113" t="s">
        <v>154</v>
      </c>
      <c r="C45" s="113"/>
      <c r="D45" s="113"/>
      <c r="E45" s="113"/>
      <c r="F45" s="113"/>
      <c r="G45" s="113"/>
      <c r="H45" s="113"/>
    </row>
    <row r="46" spans="1:8" x14ac:dyDescent="0.2">
      <c r="A46" s="114" t="s">
        <v>282</v>
      </c>
      <c r="B46" s="113"/>
      <c r="C46" s="113"/>
      <c r="D46" s="113"/>
      <c r="E46" s="113"/>
      <c r="F46" s="113"/>
      <c r="G46" s="113"/>
      <c r="H46" s="113"/>
    </row>
    <row r="47" spans="1:8" x14ac:dyDescent="0.2">
      <c r="A47" s="115"/>
      <c r="B47" s="113"/>
      <c r="C47" s="113"/>
      <c r="D47" s="113"/>
      <c r="E47" s="113"/>
      <c r="F47" s="113"/>
      <c r="G47" s="113"/>
      <c r="H47" s="113"/>
    </row>
    <row r="48" spans="1:8" x14ac:dyDescent="0.2">
      <c r="A48" s="115"/>
      <c r="B48" s="113"/>
      <c r="C48" s="113"/>
      <c r="D48" s="113"/>
      <c r="E48" s="113"/>
      <c r="F48" s="113"/>
      <c r="G48" s="113"/>
      <c r="H48" s="113"/>
    </row>
    <row r="49" spans="1:8" x14ac:dyDescent="0.2">
      <c r="A49" s="115"/>
      <c r="B49" s="113"/>
      <c r="C49" s="113"/>
      <c r="D49" s="113"/>
      <c r="E49" s="113"/>
      <c r="F49" s="113"/>
      <c r="G49" s="113"/>
      <c r="H49" s="113"/>
    </row>
    <row r="50" spans="1:8" x14ac:dyDescent="0.2">
      <c r="A50" s="115"/>
      <c r="B50" s="116"/>
      <c r="C50" s="116"/>
      <c r="D50" s="116"/>
      <c r="E50" s="116"/>
      <c r="F50" s="116"/>
      <c r="G50" s="116"/>
      <c r="H50" s="116"/>
    </row>
    <row r="51" spans="1:8" x14ac:dyDescent="0.2">
      <c r="A51" s="117"/>
      <c r="B51" s="116"/>
      <c r="C51" s="116"/>
      <c r="D51" s="116"/>
      <c r="E51" s="116"/>
      <c r="F51" s="116"/>
      <c r="G51" s="116"/>
      <c r="H51" s="116"/>
    </row>
    <row r="52" spans="1:8" x14ac:dyDescent="0.2">
      <c r="A52" s="117"/>
      <c r="B52" s="116"/>
      <c r="C52" s="116"/>
      <c r="D52" s="116"/>
      <c r="E52" s="116"/>
      <c r="F52" s="116"/>
      <c r="G52" s="116"/>
      <c r="H52" s="116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5"/>
      <c r="B59" s="118"/>
      <c r="C59" s="118"/>
      <c r="D59" s="118"/>
      <c r="E59" s="118"/>
      <c r="F59" s="118"/>
      <c r="G59" s="118"/>
      <c r="H59" s="118"/>
    </row>
    <row r="60" spans="1:8" x14ac:dyDescent="0.2">
      <c r="A60" s="117"/>
      <c r="B60" s="118"/>
      <c r="C60" s="118"/>
      <c r="D60" s="118"/>
      <c r="E60" s="118"/>
      <c r="F60" s="118"/>
      <c r="G60" s="118"/>
      <c r="H60" s="118"/>
    </row>
    <row r="61" spans="1:8" x14ac:dyDescent="0.2">
      <c r="A61" s="117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"/>
      <headerFooter alignWithMargins="0">
        <oddHeader>&amp;C2019.09.09-15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D49" sqref="D49"/>
      <pageMargins left="0" right="0" top="0" bottom="0" header="0" footer="0"/>
      <printOptions gridLines="1"/>
      <pageSetup paperSize="8" scale="95" orientation="landscape" r:id="rId2"/>
      <headerFooter alignWithMargins="0">
        <oddHeader>&amp;C2019.09.09-15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3"/>
      <headerFooter alignWithMargins="0">
        <oddHeader>&amp;C2019.09.09-15</oddHeader>
      </headerFooter>
    </customSheetView>
    <customSheetView guid="{4B58F0A9-071E-4376-B7AD-463366669E19}" scale="80">
      <pane ySplit="1" topLeftCell="A11" activePane="bottomLeft" state="frozen"/>
      <selection pane="bottomLeft" activeCell="J21" sqref="J21"/>
      <pageMargins left="0" right="0" top="0" bottom="0" header="0" footer="0"/>
      <printOptions gridLines="1"/>
      <pageSetup paperSize="8" scale="95" orientation="landscape" r:id="rId4"/>
      <headerFooter alignWithMargins="0">
        <oddHeader>&amp;C2019.09.09-15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&amp;C2019.09.09-15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6"/>
      <headerFooter alignWithMargins="0">
        <oddHeader>&amp;C2019.09.09-15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7"/>
      <headerFooter alignWithMargins="0">
        <oddHeader>&amp;C2019.09.09-15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8"/>
      <headerFooter alignWithMargins="0">
        <oddHeader>&amp;C2019.09.09-15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9"/>
      <headerFooter alignWithMargins="0">
        <oddHeader>&amp;C2019.09.09-15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0"/>
      <headerFooter alignWithMargins="0">
        <oddHeader>&amp;C2019.09.09-15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1"/>
      <headerFooter alignWithMargins="0">
        <oddHeader>&amp;C2019.09.09-15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2"/>
      <headerFooter alignWithMargins="0">
        <oddHeader>&amp;C2019.09.09-15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8" scale="95" orientation="landscape" r:id="rId13"/>
  <headerFooter alignWithMargins="0">
    <oddHeader>&amp;C2019.09.09-15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Munka26"/>
  <dimension ref="A1:I140"/>
  <sheetViews>
    <sheetView zoomScale="80" zoomScaleNormal="80" zoomScaleSheetLayoutView="40" workbookViewId="0">
      <pane ySplit="1" topLeftCell="A2" activePane="bottomLeft" state="frozen"/>
      <selection pane="bottomLeft" activeCell="E25" sqref="E25"/>
    </sheetView>
  </sheetViews>
  <sheetFormatPr defaultColWidth="9.140625" defaultRowHeight="12.75" x14ac:dyDescent="0.2"/>
  <cols>
    <col min="1" max="1" width="10.7109375" style="119" customWidth="1"/>
    <col min="2" max="6" width="30.7109375" style="69" customWidth="1"/>
    <col min="7" max="8" width="20.7109375" style="69" customWidth="1"/>
    <col min="9" max="9" width="30.7109375" style="69" customWidth="1"/>
    <col min="10" max="16384" width="9.140625" style="69"/>
  </cols>
  <sheetData>
    <row r="1" spans="1:9" ht="28.5" customHeight="1" thickTop="1" thickBot="1" x14ac:dyDescent="0.25">
      <c r="A1" s="64" t="s">
        <v>1079</v>
      </c>
      <c r="B1" s="65" t="s">
        <v>1080</v>
      </c>
      <c r="C1" s="65" t="s">
        <v>1081</v>
      </c>
      <c r="D1" s="65" t="s">
        <v>1082</v>
      </c>
      <c r="E1" s="65" t="s">
        <v>1083</v>
      </c>
      <c r="F1" s="65" t="s">
        <v>1084</v>
      </c>
      <c r="G1" s="67" t="s">
        <v>1085</v>
      </c>
      <c r="H1" s="67" t="s">
        <v>1086</v>
      </c>
      <c r="I1" s="68"/>
    </row>
    <row r="2" spans="1:9" ht="15" customHeight="1" x14ac:dyDescent="0.2">
      <c r="A2" s="70"/>
      <c r="B2" s="71"/>
      <c r="C2" s="71"/>
      <c r="D2" s="71"/>
      <c r="E2" s="71"/>
      <c r="F2" s="73"/>
      <c r="G2" s="74"/>
      <c r="H2" s="74"/>
      <c r="I2" s="75"/>
    </row>
    <row r="3" spans="1:9" ht="15" customHeight="1" x14ac:dyDescent="0.2">
      <c r="A3" s="76"/>
      <c r="B3" s="77"/>
      <c r="C3" s="77"/>
      <c r="D3" s="77"/>
      <c r="E3" s="77"/>
      <c r="F3" s="79"/>
      <c r="G3" s="80"/>
      <c r="H3" s="80"/>
      <c r="I3" s="75"/>
    </row>
    <row r="4" spans="1:9" ht="15" customHeight="1" x14ac:dyDescent="0.2">
      <c r="A4" s="76" t="s">
        <v>18</v>
      </c>
      <c r="B4" s="77"/>
      <c r="C4" s="77"/>
      <c r="D4" s="77"/>
      <c r="E4" s="77"/>
      <c r="F4" s="79"/>
      <c r="G4" s="80"/>
      <c r="H4" s="80"/>
    </row>
    <row r="5" spans="1:9" ht="15" customHeight="1" x14ac:dyDescent="0.2">
      <c r="A5" s="81" t="s">
        <v>19</v>
      </c>
      <c r="B5" s="77"/>
      <c r="C5" s="77"/>
      <c r="D5" s="77"/>
      <c r="E5" s="77"/>
      <c r="F5" s="79"/>
      <c r="G5" s="80"/>
      <c r="H5" s="80"/>
    </row>
    <row r="6" spans="1:9" ht="15" customHeight="1" x14ac:dyDescent="0.2">
      <c r="A6" s="82"/>
      <c r="B6" s="83"/>
      <c r="C6" s="83"/>
      <c r="D6" s="83"/>
      <c r="E6" s="83"/>
      <c r="F6" s="85"/>
      <c r="G6" s="86"/>
      <c r="H6" s="86"/>
    </row>
    <row r="7" spans="1:9" ht="15" customHeight="1" thickBot="1" x14ac:dyDescent="0.25">
      <c r="A7" s="87" t="s">
        <v>20</v>
      </c>
      <c r="B7" s="88"/>
      <c r="C7" s="88"/>
      <c r="D7" s="88"/>
      <c r="E7" s="88"/>
      <c r="F7" s="90"/>
      <c r="G7" s="91"/>
      <c r="H7" s="91"/>
    </row>
    <row r="8" spans="1:9" ht="15" customHeight="1" thickTop="1" x14ac:dyDescent="0.2">
      <c r="A8" s="82"/>
      <c r="B8" s="77"/>
      <c r="C8" s="77"/>
      <c r="D8" s="77"/>
      <c r="E8" s="77"/>
      <c r="F8" s="79"/>
      <c r="G8" s="80"/>
      <c r="H8" s="80"/>
    </row>
    <row r="9" spans="1:9" ht="15" customHeight="1" x14ac:dyDescent="0.2">
      <c r="A9" s="82"/>
      <c r="B9" s="77"/>
      <c r="C9" s="77"/>
      <c r="D9" s="77"/>
      <c r="E9" s="77"/>
      <c r="F9" s="79"/>
      <c r="G9" s="80"/>
      <c r="H9" s="80"/>
    </row>
    <row r="10" spans="1:9" ht="15" customHeight="1" x14ac:dyDescent="0.2">
      <c r="A10" s="92" t="s">
        <v>18</v>
      </c>
      <c r="B10" s="77"/>
      <c r="C10" s="77"/>
      <c r="D10" s="77"/>
      <c r="E10" s="77"/>
      <c r="F10" s="79"/>
      <c r="G10" s="80"/>
      <c r="H10" s="80"/>
    </row>
    <row r="11" spans="1:9" ht="15" customHeight="1" x14ac:dyDescent="0.2">
      <c r="A11" s="93" t="s">
        <v>30</v>
      </c>
      <c r="B11" s="77"/>
      <c r="C11" s="77"/>
      <c r="D11" s="77"/>
      <c r="E11" s="77"/>
      <c r="F11" s="79"/>
      <c r="G11" s="80"/>
      <c r="H11" s="80"/>
    </row>
    <row r="12" spans="1:9" ht="15" customHeight="1" x14ac:dyDescent="0.2">
      <c r="A12" s="82"/>
      <c r="B12" s="77"/>
      <c r="C12" s="77"/>
      <c r="D12" s="77"/>
      <c r="E12" s="77"/>
      <c r="F12" s="79"/>
      <c r="G12" s="80"/>
      <c r="H12" s="80"/>
    </row>
    <row r="13" spans="1:9" ht="15" customHeight="1" x14ac:dyDescent="0.2">
      <c r="A13" s="82"/>
      <c r="B13" s="83"/>
      <c r="C13" s="83"/>
      <c r="D13" s="83"/>
      <c r="E13" s="83"/>
      <c r="F13" s="85"/>
      <c r="G13" s="86"/>
      <c r="H13" s="86"/>
    </row>
    <row r="14" spans="1:9" ht="15" customHeight="1" thickBot="1" x14ac:dyDescent="0.25">
      <c r="A14" s="87" t="s">
        <v>20</v>
      </c>
      <c r="B14" s="88"/>
      <c r="C14" s="88"/>
      <c r="D14" s="88"/>
      <c r="E14" s="88"/>
      <c r="F14" s="90"/>
      <c r="G14" s="91"/>
      <c r="H14" s="91"/>
    </row>
    <row r="15" spans="1:9" ht="15" customHeight="1" thickTop="1" x14ac:dyDescent="0.2">
      <c r="A15" s="82"/>
      <c r="B15" s="77"/>
      <c r="C15" s="77"/>
      <c r="D15" s="77"/>
      <c r="E15" s="77"/>
      <c r="F15" s="79"/>
      <c r="G15" s="80"/>
      <c r="H15" s="80"/>
    </row>
    <row r="16" spans="1:9" ht="15" customHeight="1" x14ac:dyDescent="0.2">
      <c r="A16" s="82"/>
      <c r="B16" s="77"/>
      <c r="C16" s="77"/>
      <c r="D16" s="77"/>
      <c r="E16" s="77"/>
      <c r="F16" s="79"/>
      <c r="G16" s="80"/>
      <c r="H16" s="80"/>
    </row>
    <row r="17" spans="1:8" ht="15" customHeight="1" x14ac:dyDescent="0.2">
      <c r="A17" s="92" t="s">
        <v>41</v>
      </c>
      <c r="B17" s="77"/>
      <c r="C17" s="77"/>
      <c r="D17" s="77"/>
      <c r="E17" s="77"/>
      <c r="F17" s="79"/>
      <c r="G17" s="80"/>
      <c r="H17" s="80"/>
    </row>
    <row r="18" spans="1:8" ht="15" customHeight="1" x14ac:dyDescent="0.2">
      <c r="A18" s="93" t="s">
        <v>43</v>
      </c>
      <c r="B18" s="77"/>
      <c r="C18" s="77"/>
      <c r="D18" s="77"/>
      <c r="E18" s="77"/>
      <c r="F18" s="79"/>
      <c r="G18" s="80"/>
      <c r="H18" s="80"/>
    </row>
    <row r="19" spans="1:8" x14ac:dyDescent="0.2">
      <c r="A19" s="82"/>
      <c r="B19" s="83"/>
      <c r="C19" s="83"/>
      <c r="D19" s="83"/>
      <c r="E19" s="83"/>
      <c r="F19" s="85"/>
      <c r="G19" s="86"/>
      <c r="H19" s="86"/>
    </row>
    <row r="20" spans="1:8" ht="13.5" thickBot="1" x14ac:dyDescent="0.25">
      <c r="A20" s="87" t="s">
        <v>20</v>
      </c>
      <c r="B20" s="88"/>
      <c r="C20" s="88"/>
      <c r="D20" s="88"/>
      <c r="E20" s="88"/>
      <c r="F20" s="90"/>
      <c r="G20" s="91"/>
      <c r="H20" s="91"/>
    </row>
    <row r="21" spans="1:8" ht="13.5" thickTop="1" x14ac:dyDescent="0.2">
      <c r="A21" s="82"/>
      <c r="B21" s="77"/>
      <c r="C21" s="77"/>
      <c r="D21" s="77"/>
      <c r="E21" s="77"/>
      <c r="F21" s="79"/>
      <c r="G21" s="80"/>
      <c r="H21" s="80"/>
    </row>
    <row r="22" spans="1:8" x14ac:dyDescent="0.2">
      <c r="A22" s="82"/>
      <c r="B22" s="77"/>
      <c r="C22" s="77"/>
      <c r="D22" s="77"/>
      <c r="E22" s="77"/>
      <c r="F22" s="79"/>
      <c r="G22" s="80"/>
      <c r="H22" s="80"/>
    </row>
    <row r="23" spans="1:8" x14ac:dyDescent="0.2">
      <c r="A23" s="92" t="s">
        <v>41</v>
      </c>
      <c r="B23" s="77"/>
      <c r="C23" s="77"/>
      <c r="D23" s="77"/>
      <c r="E23" s="77"/>
      <c r="F23" s="79"/>
      <c r="G23" s="80"/>
      <c r="H23" s="80"/>
    </row>
    <row r="24" spans="1:8" x14ac:dyDescent="0.2">
      <c r="A24" s="93" t="s">
        <v>50</v>
      </c>
      <c r="B24" s="77"/>
      <c r="C24" s="77"/>
      <c r="D24" s="77"/>
      <c r="E24" s="77"/>
      <c r="F24" s="79"/>
      <c r="G24" s="80"/>
      <c r="H24" s="80"/>
    </row>
    <row r="25" spans="1:8" x14ac:dyDescent="0.2">
      <c r="A25" s="82"/>
      <c r="B25" s="77"/>
      <c r="C25" s="77"/>
      <c r="D25" s="77"/>
      <c r="E25" s="77"/>
      <c r="F25" s="79"/>
      <c r="G25" s="80"/>
      <c r="H25" s="80"/>
    </row>
    <row r="26" spans="1:8" x14ac:dyDescent="0.2">
      <c r="A26" s="82"/>
      <c r="B26" s="83"/>
      <c r="C26" s="83"/>
      <c r="D26" s="83"/>
      <c r="E26" s="83"/>
      <c r="F26" s="85"/>
      <c r="G26" s="86"/>
      <c r="H26" s="86"/>
    </row>
    <row r="27" spans="1:8" ht="13.5" thickBot="1" x14ac:dyDescent="0.25">
      <c r="A27" s="87" t="s">
        <v>20</v>
      </c>
      <c r="B27" s="88"/>
      <c r="C27" s="88"/>
      <c r="D27" s="88"/>
      <c r="E27" s="88"/>
      <c r="F27" s="90"/>
      <c r="G27" s="91"/>
      <c r="H27" s="91"/>
    </row>
    <row r="28" spans="1:8" ht="13.5" thickTop="1" x14ac:dyDescent="0.2">
      <c r="A28" s="76"/>
      <c r="B28" s="77"/>
      <c r="C28" s="77"/>
      <c r="D28" s="77"/>
      <c r="E28" s="77"/>
      <c r="F28" s="79"/>
      <c r="G28" s="80"/>
      <c r="H28" s="80"/>
    </row>
    <row r="29" spans="1:8" x14ac:dyDescent="0.2">
      <c r="A29" s="82"/>
      <c r="B29" s="77"/>
      <c r="C29" s="77"/>
      <c r="D29" s="77"/>
      <c r="E29" s="77"/>
      <c r="F29" s="79"/>
      <c r="G29" s="80"/>
      <c r="H29" s="80"/>
    </row>
    <row r="30" spans="1:8" x14ac:dyDescent="0.2">
      <c r="A30" s="92" t="s">
        <v>59</v>
      </c>
      <c r="B30" s="77"/>
      <c r="C30" s="77"/>
      <c r="D30" s="77"/>
      <c r="E30" s="77"/>
      <c r="F30" s="79"/>
      <c r="G30" s="80"/>
      <c r="H30" s="80"/>
    </row>
    <row r="31" spans="1:8" x14ac:dyDescent="0.2">
      <c r="A31" s="93" t="s">
        <v>60</v>
      </c>
      <c r="B31" s="77"/>
      <c r="C31" s="77"/>
      <c r="D31" s="77"/>
      <c r="E31" s="77"/>
      <c r="F31" s="79"/>
      <c r="G31" s="80"/>
      <c r="H31" s="80"/>
    </row>
    <row r="32" spans="1:8" x14ac:dyDescent="0.2">
      <c r="A32" s="92"/>
      <c r="B32" s="77"/>
      <c r="C32" s="77"/>
      <c r="D32" s="77"/>
      <c r="E32" s="77"/>
      <c r="F32" s="79"/>
      <c r="G32" s="80"/>
      <c r="H32" s="80"/>
    </row>
    <row r="33" spans="1:8" x14ac:dyDescent="0.2">
      <c r="A33" s="92"/>
      <c r="B33" s="94"/>
      <c r="C33" s="94"/>
      <c r="D33" s="94"/>
      <c r="E33" s="94"/>
      <c r="F33" s="96"/>
      <c r="G33" s="97"/>
      <c r="H33" s="97"/>
    </row>
    <row r="34" spans="1:8" ht="13.5" thickBot="1" x14ac:dyDescent="0.25">
      <c r="A34" s="87" t="s">
        <v>20</v>
      </c>
      <c r="B34" s="88"/>
      <c r="C34" s="88"/>
      <c r="D34" s="88"/>
      <c r="E34" s="88"/>
      <c r="F34" s="90"/>
      <c r="G34" s="91"/>
      <c r="H34" s="91"/>
    </row>
    <row r="35" spans="1:8" ht="13.5" thickTop="1" x14ac:dyDescent="0.2">
      <c r="A35" s="76"/>
      <c r="B35" s="77"/>
      <c r="C35" s="77"/>
      <c r="D35" s="77"/>
      <c r="E35" s="77"/>
      <c r="F35" s="79"/>
      <c r="G35" s="80"/>
      <c r="H35" s="80"/>
    </row>
    <row r="36" spans="1:8" x14ac:dyDescent="0.2">
      <c r="A36" s="98"/>
      <c r="B36" s="99"/>
      <c r="C36" s="77"/>
      <c r="D36" s="77"/>
      <c r="E36" s="77"/>
      <c r="F36" s="79"/>
      <c r="G36" s="80"/>
      <c r="H36" s="80"/>
    </row>
    <row r="37" spans="1:8" x14ac:dyDescent="0.2">
      <c r="A37" s="92" t="s">
        <v>279</v>
      </c>
      <c r="B37" s="77"/>
      <c r="C37" s="77"/>
      <c r="D37" s="77"/>
      <c r="E37" s="77"/>
      <c r="F37" s="79"/>
      <c r="G37" s="80"/>
      <c r="H37" s="80"/>
    </row>
    <row r="38" spans="1:8" x14ac:dyDescent="0.2">
      <c r="A38" s="93" t="s">
        <v>67</v>
      </c>
      <c r="B38" s="77"/>
      <c r="C38" s="77"/>
      <c r="D38" s="77"/>
      <c r="E38" s="77"/>
      <c r="F38" s="79"/>
      <c r="G38" s="80"/>
      <c r="H38" s="80"/>
    </row>
    <row r="39" spans="1:8" x14ac:dyDescent="0.2">
      <c r="A39" s="92"/>
      <c r="B39" s="83"/>
      <c r="C39" s="83"/>
      <c r="D39" s="83"/>
      <c r="E39" s="83"/>
      <c r="F39" s="85"/>
      <c r="G39" s="86"/>
      <c r="H39" s="86"/>
    </row>
    <row r="40" spans="1:8" ht="13.5" thickBot="1" x14ac:dyDescent="0.25">
      <c r="A40" s="87" t="s">
        <v>20</v>
      </c>
      <c r="B40" s="88"/>
      <c r="C40" s="88"/>
      <c r="D40" s="88"/>
      <c r="E40" s="88"/>
      <c r="F40" s="90"/>
      <c r="G40" s="91"/>
      <c r="H40" s="91"/>
    </row>
    <row r="41" spans="1:8" ht="13.5" thickTop="1" x14ac:dyDescent="0.2">
      <c r="A41" s="76"/>
      <c r="B41" s="100"/>
      <c r="C41" s="100"/>
      <c r="D41" s="100"/>
      <c r="E41" s="100"/>
      <c r="F41" s="102"/>
      <c r="G41" s="103"/>
      <c r="H41" s="103"/>
    </row>
    <row r="42" spans="1:8" x14ac:dyDescent="0.2">
      <c r="A42" s="92" t="s">
        <v>71</v>
      </c>
      <c r="B42" s="100"/>
      <c r="C42" s="100"/>
      <c r="D42" s="100"/>
      <c r="E42" s="100"/>
      <c r="F42" s="102"/>
      <c r="G42" s="103"/>
      <c r="H42" s="103"/>
    </row>
    <row r="43" spans="1:8" x14ac:dyDescent="0.2">
      <c r="A43" s="93" t="s">
        <v>72</v>
      </c>
      <c r="B43" s="104"/>
      <c r="C43" s="104"/>
      <c r="D43" s="104"/>
      <c r="E43" s="104"/>
      <c r="F43" s="106"/>
      <c r="G43" s="107"/>
      <c r="H43" s="107"/>
    </row>
    <row r="44" spans="1:8" ht="13.5" thickBot="1" x14ac:dyDescent="0.25">
      <c r="A44" s="87" t="s">
        <v>20</v>
      </c>
      <c r="B44" s="108"/>
      <c r="C44" s="108"/>
      <c r="D44" s="108"/>
      <c r="E44" s="108"/>
      <c r="F44" s="110"/>
      <c r="G44" s="111"/>
      <c r="H44" s="111"/>
    </row>
    <row r="45" spans="1:8" ht="13.5" thickTop="1" x14ac:dyDescent="0.2">
      <c r="A45" s="112" t="s">
        <v>280</v>
      </c>
      <c r="B45" s="113"/>
      <c r="C45" s="113"/>
      <c r="D45" s="113"/>
      <c r="E45" s="113"/>
      <c r="F45" s="113"/>
      <c r="G45" s="113"/>
      <c r="H45" s="113"/>
    </row>
    <row r="46" spans="1:8" x14ac:dyDescent="0.2">
      <c r="A46" s="114" t="s">
        <v>282</v>
      </c>
      <c r="B46" s="113"/>
      <c r="C46" s="113"/>
      <c r="D46" s="113"/>
      <c r="E46" s="113"/>
      <c r="F46" s="113"/>
      <c r="G46" s="113"/>
      <c r="H46" s="113"/>
    </row>
    <row r="47" spans="1:8" x14ac:dyDescent="0.2">
      <c r="A47" s="115"/>
      <c r="B47" s="113"/>
      <c r="C47" s="113"/>
      <c r="D47" s="113"/>
      <c r="E47" s="113"/>
      <c r="F47" s="113"/>
      <c r="G47" s="113"/>
      <c r="H47" s="113"/>
    </row>
    <row r="48" spans="1:8" x14ac:dyDescent="0.2">
      <c r="A48" s="115"/>
      <c r="B48" s="113"/>
      <c r="C48" s="113"/>
      <c r="D48" s="113"/>
      <c r="E48" s="113"/>
      <c r="F48" s="113"/>
      <c r="G48" s="113"/>
      <c r="H48" s="113"/>
    </row>
    <row r="49" spans="1:8" x14ac:dyDescent="0.2">
      <c r="A49" s="115"/>
      <c r="B49" s="113"/>
      <c r="C49" s="113"/>
      <c r="D49" s="113"/>
      <c r="E49" s="113"/>
      <c r="F49" s="113"/>
      <c r="G49" s="113"/>
      <c r="H49" s="113"/>
    </row>
    <row r="50" spans="1:8" x14ac:dyDescent="0.2">
      <c r="A50" s="115"/>
      <c r="B50" s="116"/>
      <c r="C50" s="116"/>
      <c r="D50" s="116"/>
      <c r="E50" s="116"/>
      <c r="F50" s="116"/>
      <c r="G50" s="116"/>
      <c r="H50" s="116"/>
    </row>
    <row r="51" spans="1:8" x14ac:dyDescent="0.2">
      <c r="A51" s="117"/>
      <c r="B51" s="116"/>
      <c r="C51" s="116"/>
      <c r="D51" s="116"/>
      <c r="E51" s="116"/>
      <c r="F51" s="116"/>
      <c r="G51" s="116"/>
      <c r="H51" s="116"/>
    </row>
    <row r="52" spans="1:8" x14ac:dyDescent="0.2">
      <c r="A52" s="117"/>
      <c r="B52" s="116"/>
      <c r="C52" s="116"/>
      <c r="D52" s="116"/>
      <c r="E52" s="116"/>
      <c r="F52" s="116"/>
      <c r="G52" s="116"/>
      <c r="H52" s="116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5"/>
      <c r="B59" s="118"/>
      <c r="C59" s="118"/>
      <c r="D59" s="118"/>
      <c r="E59" s="118"/>
      <c r="F59" s="118"/>
      <c r="G59" s="118"/>
      <c r="H59" s="118"/>
    </row>
    <row r="60" spans="1:8" x14ac:dyDescent="0.2">
      <c r="A60" s="117"/>
      <c r="B60" s="118"/>
      <c r="C60" s="118"/>
      <c r="D60" s="118"/>
      <c r="E60" s="118"/>
      <c r="F60" s="118"/>
      <c r="G60" s="118"/>
      <c r="H60" s="118"/>
    </row>
    <row r="61" spans="1:8" x14ac:dyDescent="0.2">
      <c r="A61" s="117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"/>
      <headerFooter alignWithMargins="0">
        <oddHeader>&amp;C2019.09.16-22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D49" sqref="D49"/>
      <pageMargins left="0" right="0" top="0" bottom="0" header="0" footer="0"/>
      <printOptions gridLines="1"/>
      <pageSetup paperSize="8" scale="95" orientation="landscape" r:id="rId2"/>
      <headerFooter alignWithMargins="0">
        <oddHeader>&amp;C2019.09.16-22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3"/>
      <headerFooter alignWithMargins="0">
        <oddHeader>&amp;C2019.09.16-22</oddHeader>
      </headerFooter>
    </customSheetView>
    <customSheetView guid="{4B58F0A9-071E-4376-B7AD-463366669E19}" scale="80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4"/>
      <headerFooter alignWithMargins="0">
        <oddHeader>&amp;C2019.09.16-22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&amp;C2019.09.16-22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6"/>
      <headerFooter alignWithMargins="0">
        <oddHeader>&amp;C2019.09.16-22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7"/>
      <headerFooter alignWithMargins="0">
        <oddHeader>&amp;C2019.09.16-22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8"/>
      <headerFooter alignWithMargins="0">
        <oddHeader>&amp;C2019.09.16-22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9"/>
      <headerFooter alignWithMargins="0">
        <oddHeader>&amp;C2019.09.16-22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0"/>
      <headerFooter alignWithMargins="0">
        <oddHeader>&amp;C2019.09.16-22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1"/>
      <headerFooter alignWithMargins="0">
        <oddHeader>&amp;C2019.09.16-22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2"/>
      <headerFooter alignWithMargins="0">
        <oddHeader>&amp;C2019.09.16-22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8" scale="95" orientation="landscape" r:id="rId13"/>
  <headerFooter alignWithMargins="0">
    <oddHeader>&amp;C2019.09.16-22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Munka27"/>
  <dimension ref="A1:I140"/>
  <sheetViews>
    <sheetView zoomScale="80" zoomScaleNormal="80" zoomScaleSheetLayoutView="40" workbookViewId="0">
      <pane ySplit="1" topLeftCell="A2" activePane="bottomLeft" state="frozen"/>
      <selection pane="bottomLeft" activeCell="E25" sqref="E25"/>
    </sheetView>
  </sheetViews>
  <sheetFormatPr defaultColWidth="9.140625" defaultRowHeight="12.75" x14ac:dyDescent="0.2"/>
  <cols>
    <col min="1" max="1" width="10.7109375" style="119" customWidth="1"/>
    <col min="2" max="6" width="30.7109375" style="69" customWidth="1"/>
    <col min="7" max="8" width="20.7109375" style="69" customWidth="1"/>
    <col min="9" max="9" width="30.7109375" style="69" customWidth="1"/>
    <col min="10" max="16384" width="9.140625" style="69"/>
  </cols>
  <sheetData>
    <row r="1" spans="1:9" ht="28.5" customHeight="1" thickTop="1" thickBot="1" x14ac:dyDescent="0.25">
      <c r="A1" s="64" t="s">
        <v>1087</v>
      </c>
      <c r="B1" s="65" t="s">
        <v>1088</v>
      </c>
      <c r="C1" s="65" t="s">
        <v>1089</v>
      </c>
      <c r="D1" s="65" t="s">
        <v>1090</v>
      </c>
      <c r="E1" s="65" t="s">
        <v>1091</v>
      </c>
      <c r="F1" s="65" t="s">
        <v>1092</v>
      </c>
      <c r="G1" s="67" t="s">
        <v>1093</v>
      </c>
      <c r="H1" s="67" t="s">
        <v>1094</v>
      </c>
      <c r="I1" s="68"/>
    </row>
    <row r="2" spans="1:9" ht="15" customHeight="1" x14ac:dyDescent="0.2">
      <c r="A2" s="70"/>
      <c r="B2" s="71"/>
      <c r="C2" s="71"/>
      <c r="D2" s="71"/>
      <c r="E2" s="71"/>
      <c r="F2" s="73"/>
      <c r="G2" s="74"/>
      <c r="H2" s="74"/>
      <c r="I2" s="75"/>
    </row>
    <row r="3" spans="1:9" ht="15" customHeight="1" x14ac:dyDescent="0.2">
      <c r="A3" s="76"/>
      <c r="B3" s="77"/>
      <c r="C3" s="77"/>
      <c r="D3" s="77"/>
      <c r="E3" s="77"/>
      <c r="F3" s="79"/>
      <c r="G3" s="80"/>
      <c r="H3" s="80"/>
      <c r="I3" s="75"/>
    </row>
    <row r="4" spans="1:9" ht="15" customHeight="1" x14ac:dyDescent="0.2">
      <c r="A4" s="76" t="s">
        <v>18</v>
      </c>
      <c r="B4" s="77"/>
      <c r="C4" s="77"/>
      <c r="D4" s="77"/>
      <c r="E4" s="77"/>
      <c r="F4" s="79"/>
      <c r="G4" s="80"/>
      <c r="H4" s="80"/>
    </row>
    <row r="5" spans="1:9" ht="15" customHeight="1" x14ac:dyDescent="0.2">
      <c r="A5" s="81" t="s">
        <v>19</v>
      </c>
      <c r="B5" s="77"/>
      <c r="C5" s="77"/>
      <c r="D5" s="77"/>
      <c r="E5" s="77"/>
      <c r="F5" s="79"/>
      <c r="G5" s="80"/>
      <c r="H5" s="80"/>
    </row>
    <row r="6" spans="1:9" ht="15" customHeight="1" x14ac:dyDescent="0.2">
      <c r="A6" s="82"/>
      <c r="B6" s="83"/>
      <c r="C6" s="83"/>
      <c r="D6" s="83"/>
      <c r="E6" s="83"/>
      <c r="F6" s="85"/>
      <c r="G6" s="86"/>
      <c r="H6" s="86"/>
    </row>
    <row r="7" spans="1:9" ht="15" customHeight="1" thickBot="1" x14ac:dyDescent="0.25">
      <c r="A7" s="87" t="s">
        <v>20</v>
      </c>
      <c r="B7" s="88"/>
      <c r="C7" s="88"/>
      <c r="D7" s="88"/>
      <c r="E7" s="88"/>
      <c r="F7" s="90"/>
      <c r="G7" s="91"/>
      <c r="H7" s="91"/>
    </row>
    <row r="8" spans="1:9" ht="15" customHeight="1" thickTop="1" x14ac:dyDescent="0.2">
      <c r="A8" s="82"/>
      <c r="B8" s="77"/>
      <c r="C8" s="77"/>
      <c r="D8" s="77"/>
      <c r="E8" s="77"/>
      <c r="F8" s="79"/>
      <c r="G8" s="80"/>
      <c r="H8" s="80"/>
    </row>
    <row r="9" spans="1:9" ht="15" customHeight="1" x14ac:dyDescent="0.2">
      <c r="A9" s="82"/>
      <c r="B9" s="77"/>
      <c r="C9" s="77"/>
      <c r="D9" s="77"/>
      <c r="E9" s="77"/>
      <c r="F9" s="79"/>
      <c r="G9" s="80"/>
      <c r="H9" s="80"/>
    </row>
    <row r="10" spans="1:9" ht="15" customHeight="1" x14ac:dyDescent="0.2">
      <c r="A10" s="92" t="s">
        <v>18</v>
      </c>
      <c r="B10" s="77"/>
      <c r="C10" s="77"/>
      <c r="D10" s="77"/>
      <c r="E10" s="77"/>
      <c r="F10" s="79"/>
      <c r="G10" s="80"/>
      <c r="H10" s="80"/>
    </row>
    <row r="11" spans="1:9" ht="15" customHeight="1" x14ac:dyDescent="0.2">
      <c r="A11" s="93" t="s">
        <v>30</v>
      </c>
      <c r="B11" s="77"/>
      <c r="C11" s="77"/>
      <c r="D11" s="77"/>
      <c r="E11" s="77"/>
      <c r="F11" s="79"/>
      <c r="G11" s="80"/>
      <c r="H11" s="80"/>
    </row>
    <row r="12" spans="1:9" ht="15" customHeight="1" x14ac:dyDescent="0.2">
      <c r="A12" s="82"/>
      <c r="B12" s="77"/>
      <c r="C12" s="77"/>
      <c r="D12" s="77"/>
      <c r="E12" s="77"/>
      <c r="F12" s="79"/>
      <c r="G12" s="80"/>
      <c r="H12" s="80"/>
    </row>
    <row r="13" spans="1:9" ht="15" customHeight="1" x14ac:dyDescent="0.2">
      <c r="A13" s="82"/>
      <c r="B13" s="83"/>
      <c r="C13" s="83"/>
      <c r="D13" s="83"/>
      <c r="E13" s="83"/>
      <c r="F13" s="85"/>
      <c r="G13" s="86"/>
      <c r="H13" s="86"/>
    </row>
    <row r="14" spans="1:9" ht="15" customHeight="1" thickBot="1" x14ac:dyDescent="0.25">
      <c r="A14" s="87" t="s">
        <v>20</v>
      </c>
      <c r="B14" s="88"/>
      <c r="C14" s="88"/>
      <c r="D14" s="88"/>
      <c r="E14" s="88"/>
      <c r="F14" s="90"/>
      <c r="G14" s="91"/>
      <c r="H14" s="91"/>
    </row>
    <row r="15" spans="1:9" ht="15" customHeight="1" thickTop="1" x14ac:dyDescent="0.2">
      <c r="A15" s="82"/>
      <c r="B15" s="77"/>
      <c r="C15" s="77"/>
      <c r="D15" s="77"/>
      <c r="E15" s="77"/>
      <c r="F15" s="79"/>
      <c r="G15" s="80"/>
      <c r="H15" s="80"/>
    </row>
    <row r="16" spans="1:9" ht="15" customHeight="1" x14ac:dyDescent="0.2">
      <c r="A16" s="82"/>
      <c r="B16" s="77"/>
      <c r="C16" s="77"/>
      <c r="D16" s="77"/>
      <c r="E16" s="77"/>
      <c r="F16" s="79"/>
      <c r="G16" s="80"/>
      <c r="H16" s="80"/>
    </row>
    <row r="17" spans="1:8" ht="15" customHeight="1" x14ac:dyDescent="0.2">
      <c r="A17" s="92" t="s">
        <v>41</v>
      </c>
      <c r="B17" s="77"/>
      <c r="C17" s="77"/>
      <c r="D17" s="77"/>
      <c r="E17" s="77"/>
      <c r="F17" s="79"/>
      <c r="G17" s="80"/>
      <c r="H17" s="80"/>
    </row>
    <row r="18" spans="1:8" ht="15" customHeight="1" x14ac:dyDescent="0.2">
      <c r="A18" s="93" t="s">
        <v>43</v>
      </c>
      <c r="B18" s="77"/>
      <c r="C18" s="77"/>
      <c r="D18" s="77"/>
      <c r="E18" s="77"/>
      <c r="F18" s="79"/>
      <c r="G18" s="80"/>
      <c r="H18" s="80"/>
    </row>
    <row r="19" spans="1:8" x14ac:dyDescent="0.2">
      <c r="A19" s="82"/>
      <c r="B19" s="83"/>
      <c r="C19" s="83"/>
      <c r="D19" s="83"/>
      <c r="E19" s="83"/>
      <c r="F19" s="85"/>
      <c r="G19" s="86"/>
      <c r="H19" s="86"/>
    </row>
    <row r="20" spans="1:8" ht="13.5" thickBot="1" x14ac:dyDescent="0.25">
      <c r="A20" s="87" t="s">
        <v>20</v>
      </c>
      <c r="B20" s="88"/>
      <c r="C20" s="88"/>
      <c r="D20" s="88"/>
      <c r="E20" s="88"/>
      <c r="F20" s="90"/>
      <c r="G20" s="91"/>
      <c r="H20" s="91"/>
    </row>
    <row r="21" spans="1:8" ht="13.5" thickTop="1" x14ac:dyDescent="0.2">
      <c r="A21" s="82"/>
      <c r="B21" s="77"/>
      <c r="C21" s="77"/>
      <c r="D21" s="77"/>
      <c r="E21" s="77"/>
      <c r="F21" s="79"/>
      <c r="G21" s="80"/>
      <c r="H21" s="80"/>
    </row>
    <row r="22" spans="1:8" x14ac:dyDescent="0.2">
      <c r="A22" s="82"/>
      <c r="B22" s="77"/>
      <c r="C22" s="77"/>
      <c r="D22" s="77"/>
      <c r="E22" s="77"/>
      <c r="F22" s="79"/>
      <c r="G22" s="80"/>
      <c r="H22" s="80"/>
    </row>
    <row r="23" spans="1:8" x14ac:dyDescent="0.2">
      <c r="A23" s="92" t="s">
        <v>41</v>
      </c>
      <c r="B23" s="77"/>
      <c r="C23" s="77"/>
      <c r="D23" s="77"/>
      <c r="E23" s="77"/>
      <c r="F23" s="79"/>
      <c r="G23" s="80"/>
      <c r="H23" s="80"/>
    </row>
    <row r="24" spans="1:8" x14ac:dyDescent="0.2">
      <c r="A24" s="93" t="s">
        <v>50</v>
      </c>
      <c r="B24" s="77"/>
      <c r="C24" s="77"/>
      <c r="D24" s="77"/>
      <c r="E24" s="77"/>
      <c r="F24" s="79"/>
      <c r="G24" s="80"/>
      <c r="H24" s="80"/>
    </row>
    <row r="25" spans="1:8" x14ac:dyDescent="0.2">
      <c r="A25" s="82"/>
      <c r="B25" s="77"/>
      <c r="C25" s="77"/>
      <c r="D25" s="77"/>
      <c r="E25" s="77"/>
      <c r="F25" s="79"/>
      <c r="G25" s="80"/>
      <c r="H25" s="80"/>
    </row>
    <row r="26" spans="1:8" x14ac:dyDescent="0.2">
      <c r="A26" s="82"/>
      <c r="B26" s="83"/>
      <c r="C26" s="83"/>
      <c r="D26" s="83"/>
      <c r="E26" s="83"/>
      <c r="F26" s="85"/>
      <c r="G26" s="86"/>
      <c r="H26" s="86"/>
    </row>
    <row r="27" spans="1:8" ht="13.5" thickBot="1" x14ac:dyDescent="0.25">
      <c r="A27" s="87" t="s">
        <v>20</v>
      </c>
      <c r="B27" s="88"/>
      <c r="C27" s="88"/>
      <c r="D27" s="88"/>
      <c r="E27" s="88"/>
      <c r="F27" s="90"/>
      <c r="G27" s="91"/>
      <c r="H27" s="91"/>
    </row>
    <row r="28" spans="1:8" ht="13.5" thickTop="1" x14ac:dyDescent="0.2">
      <c r="A28" s="76"/>
      <c r="B28" s="77"/>
      <c r="C28" s="77"/>
      <c r="D28" s="77"/>
      <c r="E28" s="77"/>
      <c r="F28" s="79"/>
      <c r="G28" s="80"/>
      <c r="H28" s="80"/>
    </row>
    <row r="29" spans="1:8" x14ac:dyDescent="0.2">
      <c r="A29" s="82"/>
      <c r="B29" s="77"/>
      <c r="C29" s="77"/>
      <c r="D29" s="77"/>
      <c r="E29" s="77"/>
      <c r="F29" s="79"/>
      <c r="G29" s="80"/>
      <c r="H29" s="80"/>
    </row>
    <row r="30" spans="1:8" x14ac:dyDescent="0.2">
      <c r="A30" s="92" t="s">
        <v>59</v>
      </c>
      <c r="B30" s="77"/>
      <c r="C30" s="77"/>
      <c r="D30" s="77"/>
      <c r="E30" s="77"/>
      <c r="F30" s="79"/>
      <c r="G30" s="80"/>
      <c r="H30" s="80"/>
    </row>
    <row r="31" spans="1:8" x14ac:dyDescent="0.2">
      <c r="A31" s="93" t="s">
        <v>60</v>
      </c>
      <c r="B31" s="77"/>
      <c r="C31" s="77"/>
      <c r="D31" s="77"/>
      <c r="E31" s="77"/>
      <c r="F31" s="79"/>
      <c r="G31" s="80"/>
      <c r="H31" s="80"/>
    </row>
    <row r="32" spans="1:8" x14ac:dyDescent="0.2">
      <c r="A32" s="92"/>
      <c r="B32" s="77"/>
      <c r="C32" s="77"/>
      <c r="D32" s="77"/>
      <c r="E32" s="77"/>
      <c r="F32" s="79"/>
      <c r="G32" s="80"/>
      <c r="H32" s="80"/>
    </row>
    <row r="33" spans="1:8" x14ac:dyDescent="0.2">
      <c r="A33" s="92"/>
      <c r="B33" s="94"/>
      <c r="C33" s="94"/>
      <c r="D33" s="94"/>
      <c r="E33" s="94"/>
      <c r="F33" s="96"/>
      <c r="G33" s="97"/>
      <c r="H33" s="97"/>
    </row>
    <row r="34" spans="1:8" ht="13.5" thickBot="1" x14ac:dyDescent="0.25">
      <c r="A34" s="87" t="s">
        <v>20</v>
      </c>
      <c r="B34" s="88"/>
      <c r="C34" s="88"/>
      <c r="D34" s="88"/>
      <c r="E34" s="88"/>
      <c r="F34" s="90"/>
      <c r="G34" s="91"/>
      <c r="H34" s="91"/>
    </row>
    <row r="35" spans="1:8" ht="13.5" thickTop="1" x14ac:dyDescent="0.2">
      <c r="A35" s="76"/>
      <c r="B35" s="77"/>
      <c r="C35" s="77"/>
      <c r="D35" s="77"/>
      <c r="E35" s="77"/>
      <c r="F35" s="79"/>
      <c r="G35" s="80"/>
      <c r="H35" s="80"/>
    </row>
    <row r="36" spans="1:8" x14ac:dyDescent="0.2">
      <c r="A36" s="98"/>
      <c r="B36" s="99"/>
      <c r="C36" s="77"/>
      <c r="D36" s="77"/>
      <c r="E36" s="77"/>
      <c r="F36" s="79"/>
      <c r="G36" s="80"/>
      <c r="H36" s="80"/>
    </row>
    <row r="37" spans="1:8" x14ac:dyDescent="0.2">
      <c r="A37" s="92" t="s">
        <v>279</v>
      </c>
      <c r="B37" s="77"/>
      <c r="C37" s="77"/>
      <c r="D37" s="77"/>
      <c r="E37" s="77"/>
      <c r="F37" s="79"/>
      <c r="G37" s="80"/>
      <c r="H37" s="80"/>
    </row>
    <row r="38" spans="1:8" x14ac:dyDescent="0.2">
      <c r="A38" s="93" t="s">
        <v>67</v>
      </c>
      <c r="B38" s="77"/>
      <c r="C38" s="77"/>
      <c r="D38" s="77"/>
      <c r="E38" s="77"/>
      <c r="F38" s="79"/>
      <c r="G38" s="80"/>
      <c r="H38" s="80"/>
    </row>
    <row r="39" spans="1:8" x14ac:dyDescent="0.2">
      <c r="A39" s="92"/>
      <c r="B39" s="83"/>
      <c r="C39" s="83"/>
      <c r="D39" s="83"/>
      <c r="E39" s="83"/>
      <c r="F39" s="85"/>
      <c r="G39" s="86"/>
      <c r="H39" s="86"/>
    </row>
    <row r="40" spans="1:8" ht="13.5" thickBot="1" x14ac:dyDescent="0.25">
      <c r="A40" s="87" t="s">
        <v>20</v>
      </c>
      <c r="B40" s="88"/>
      <c r="C40" s="88"/>
      <c r="D40" s="88"/>
      <c r="E40" s="88"/>
      <c r="F40" s="90"/>
      <c r="G40" s="91"/>
      <c r="H40" s="91"/>
    </row>
    <row r="41" spans="1:8" ht="13.5" thickTop="1" x14ac:dyDescent="0.2">
      <c r="A41" s="76"/>
      <c r="B41" s="100"/>
      <c r="C41" s="100"/>
      <c r="D41" s="100"/>
      <c r="E41" s="100"/>
      <c r="F41" s="102"/>
      <c r="G41" s="103"/>
      <c r="H41" s="103"/>
    </row>
    <row r="42" spans="1:8" x14ac:dyDescent="0.2">
      <c r="A42" s="92" t="s">
        <v>71</v>
      </c>
      <c r="B42" s="100"/>
      <c r="C42" s="100"/>
      <c r="D42" s="100"/>
      <c r="E42" s="100"/>
      <c r="F42" s="102"/>
      <c r="G42" s="103"/>
      <c r="H42" s="103"/>
    </row>
    <row r="43" spans="1:8" x14ac:dyDescent="0.2">
      <c r="A43" s="93" t="s">
        <v>72</v>
      </c>
      <c r="B43" s="104"/>
      <c r="C43" s="104"/>
      <c r="D43" s="104"/>
      <c r="E43" s="104"/>
      <c r="F43" s="106"/>
      <c r="G43" s="107"/>
      <c r="H43" s="107"/>
    </row>
    <row r="44" spans="1:8" ht="13.5" thickBot="1" x14ac:dyDescent="0.25">
      <c r="A44" s="87" t="s">
        <v>20</v>
      </c>
      <c r="B44" s="108"/>
      <c r="C44" s="108"/>
      <c r="D44" s="108"/>
      <c r="E44" s="108"/>
      <c r="F44" s="110"/>
      <c r="G44" s="111"/>
      <c r="H44" s="111"/>
    </row>
    <row r="45" spans="1:8" ht="13.5" thickTop="1" x14ac:dyDescent="0.2">
      <c r="A45" s="112" t="s">
        <v>280</v>
      </c>
      <c r="B45" s="113"/>
      <c r="C45" s="113"/>
      <c r="D45" s="113"/>
      <c r="E45" s="113"/>
      <c r="F45" s="113"/>
      <c r="G45" s="113"/>
      <c r="H45" s="113"/>
    </row>
    <row r="46" spans="1:8" x14ac:dyDescent="0.2">
      <c r="A46" s="114" t="s">
        <v>282</v>
      </c>
      <c r="B46" s="113"/>
      <c r="C46" s="113"/>
      <c r="D46" s="113"/>
      <c r="E46" s="113"/>
      <c r="F46" s="113"/>
      <c r="G46" s="113"/>
      <c r="H46" s="113"/>
    </row>
    <row r="47" spans="1:8" x14ac:dyDescent="0.2">
      <c r="A47" s="115"/>
      <c r="B47" s="113"/>
      <c r="C47" s="113"/>
      <c r="D47" s="113"/>
      <c r="E47" s="113"/>
      <c r="F47" s="113"/>
      <c r="G47" s="113"/>
      <c r="H47" s="113"/>
    </row>
    <row r="48" spans="1:8" x14ac:dyDescent="0.2">
      <c r="A48" s="115"/>
      <c r="B48" s="113"/>
      <c r="C48" s="113"/>
      <c r="D48" s="113"/>
      <c r="E48" s="113"/>
      <c r="F48" s="113"/>
      <c r="G48" s="113"/>
      <c r="H48" s="113"/>
    </row>
    <row r="49" spans="1:8" x14ac:dyDescent="0.2">
      <c r="A49" s="115"/>
      <c r="B49" s="113"/>
      <c r="C49" s="113"/>
      <c r="D49" s="113"/>
      <c r="E49" s="113"/>
      <c r="F49" s="113"/>
      <c r="G49" s="113"/>
      <c r="H49" s="113"/>
    </row>
    <row r="50" spans="1:8" x14ac:dyDescent="0.2">
      <c r="A50" s="115"/>
      <c r="B50" s="116"/>
      <c r="C50" s="116"/>
      <c r="D50" s="116"/>
      <c r="E50" s="116"/>
      <c r="F50" s="116"/>
      <c r="G50" s="116"/>
      <c r="H50" s="116"/>
    </row>
    <row r="51" spans="1:8" x14ac:dyDescent="0.2">
      <c r="A51" s="117"/>
      <c r="B51" s="116"/>
      <c r="C51" s="116"/>
      <c r="D51" s="116"/>
      <c r="E51" s="116"/>
      <c r="F51" s="116"/>
      <c r="G51" s="116"/>
      <c r="H51" s="116"/>
    </row>
    <row r="52" spans="1:8" x14ac:dyDescent="0.2">
      <c r="A52" s="117"/>
      <c r="B52" s="116"/>
      <c r="C52" s="116"/>
      <c r="D52" s="116"/>
      <c r="E52" s="116"/>
      <c r="F52" s="116"/>
      <c r="G52" s="116"/>
      <c r="H52" s="116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5"/>
      <c r="B59" s="118"/>
      <c r="C59" s="118"/>
      <c r="D59" s="118"/>
      <c r="E59" s="118"/>
      <c r="F59" s="118"/>
      <c r="G59" s="118"/>
      <c r="H59" s="118"/>
    </row>
    <row r="60" spans="1:8" x14ac:dyDescent="0.2">
      <c r="A60" s="117"/>
      <c r="B60" s="118"/>
      <c r="C60" s="118"/>
      <c r="D60" s="118"/>
      <c r="E60" s="118"/>
      <c r="F60" s="118"/>
      <c r="G60" s="118"/>
      <c r="H60" s="118"/>
    </row>
    <row r="61" spans="1:8" x14ac:dyDescent="0.2">
      <c r="A61" s="117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"/>
      <headerFooter alignWithMargins="0">
        <oddHeader>&amp;C2019.09.23-29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D49" sqref="D49"/>
      <pageMargins left="0" right="0" top="0" bottom="0" header="0" footer="0"/>
      <printOptions gridLines="1"/>
      <pageSetup paperSize="8" scale="95" orientation="landscape" r:id="rId2"/>
      <headerFooter alignWithMargins="0">
        <oddHeader>&amp;C2019.09.23-29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3"/>
      <headerFooter alignWithMargins="0">
        <oddHeader>&amp;C2019.09.23-29</oddHeader>
      </headerFooter>
    </customSheetView>
    <customSheetView guid="{4B58F0A9-071E-4376-B7AD-463366669E19}" scale="80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4"/>
      <headerFooter alignWithMargins="0">
        <oddHeader>&amp;C2019.09.23-29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&amp;C2019.09.23-29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6"/>
      <headerFooter alignWithMargins="0">
        <oddHeader>&amp;C2019.09.23-29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7"/>
      <headerFooter alignWithMargins="0">
        <oddHeader>&amp;C2019.09.23-29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8"/>
      <headerFooter alignWithMargins="0">
        <oddHeader>&amp;C2019.09.23-29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9"/>
      <headerFooter alignWithMargins="0">
        <oddHeader>&amp;C2019.09.23-29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0"/>
      <headerFooter alignWithMargins="0">
        <oddHeader>&amp;C2019.09.23-29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1"/>
      <headerFooter alignWithMargins="0">
        <oddHeader>&amp;C2019.09.23-29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2"/>
      <headerFooter alignWithMargins="0">
        <oddHeader>&amp;C2019.09.23-29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8" scale="95" orientation="landscape" r:id="rId13"/>
  <headerFooter alignWithMargins="0">
    <oddHeader>&amp;C2019.09.23-29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Munka28"/>
  <dimension ref="A1:I140"/>
  <sheetViews>
    <sheetView zoomScale="80" zoomScaleNormal="80" zoomScaleSheetLayoutView="40" workbookViewId="0">
      <pane ySplit="1" topLeftCell="A2" activePane="bottomLeft" state="frozen"/>
      <selection pane="bottomLeft" activeCell="E25" sqref="E25"/>
    </sheetView>
  </sheetViews>
  <sheetFormatPr defaultColWidth="9.140625" defaultRowHeight="12.75" x14ac:dyDescent="0.2"/>
  <cols>
    <col min="1" max="1" width="10.7109375" style="119" customWidth="1"/>
    <col min="2" max="6" width="30.7109375" style="69" customWidth="1"/>
    <col min="7" max="8" width="20.7109375" style="69" customWidth="1"/>
    <col min="9" max="9" width="30.7109375" style="69" customWidth="1"/>
    <col min="10" max="16384" width="9.140625" style="69"/>
  </cols>
  <sheetData>
    <row r="1" spans="1:9" ht="28.5" customHeight="1" thickTop="1" thickBot="1" x14ac:dyDescent="0.25">
      <c r="A1" s="64" t="s">
        <v>1095</v>
      </c>
      <c r="B1" s="65" t="s">
        <v>1096</v>
      </c>
      <c r="C1" s="65" t="s">
        <v>1097</v>
      </c>
      <c r="D1" s="65" t="s">
        <v>1098</v>
      </c>
      <c r="E1" s="65" t="s">
        <v>1099</v>
      </c>
      <c r="F1" s="65" t="s">
        <v>1100</v>
      </c>
      <c r="G1" s="67" t="s">
        <v>1101</v>
      </c>
      <c r="H1" s="67" t="s">
        <v>1102</v>
      </c>
      <c r="I1" s="68"/>
    </row>
    <row r="2" spans="1:9" ht="15" customHeight="1" x14ac:dyDescent="0.2">
      <c r="A2" s="70"/>
      <c r="B2" s="71"/>
      <c r="C2" s="71"/>
      <c r="D2" s="71"/>
      <c r="E2" s="71"/>
      <c r="F2" s="73"/>
      <c r="G2" s="74"/>
      <c r="H2" s="74"/>
      <c r="I2" s="75"/>
    </row>
    <row r="3" spans="1:9" ht="15" customHeight="1" x14ac:dyDescent="0.2">
      <c r="A3" s="76"/>
      <c r="B3" s="77"/>
      <c r="C3" s="77"/>
      <c r="D3" s="77"/>
      <c r="E3" s="77"/>
      <c r="F3" s="79"/>
      <c r="G3" s="80"/>
      <c r="H3" s="80"/>
      <c r="I3" s="75"/>
    </row>
    <row r="4" spans="1:9" ht="15" customHeight="1" x14ac:dyDescent="0.2">
      <c r="A4" s="76" t="s">
        <v>18</v>
      </c>
      <c r="B4" s="77"/>
      <c r="C4" s="77"/>
      <c r="D4" s="77"/>
      <c r="E4" s="77"/>
      <c r="F4" s="79"/>
      <c r="G4" s="80"/>
      <c r="H4" s="80"/>
    </row>
    <row r="5" spans="1:9" ht="15" customHeight="1" x14ac:dyDescent="0.2">
      <c r="A5" s="81" t="s">
        <v>19</v>
      </c>
      <c r="B5" s="77"/>
      <c r="C5" s="77"/>
      <c r="D5" s="77"/>
      <c r="E5" s="77"/>
      <c r="F5" s="79"/>
      <c r="G5" s="80"/>
      <c r="H5" s="80"/>
    </row>
    <row r="6" spans="1:9" ht="15" customHeight="1" x14ac:dyDescent="0.2">
      <c r="A6" s="82"/>
      <c r="B6" s="83"/>
      <c r="C6" s="83"/>
      <c r="D6" s="83"/>
      <c r="E6" s="83"/>
      <c r="F6" s="85"/>
      <c r="G6" s="86"/>
      <c r="H6" s="86"/>
    </row>
    <row r="7" spans="1:9" ht="15" customHeight="1" thickBot="1" x14ac:dyDescent="0.25">
      <c r="A7" s="87" t="s">
        <v>20</v>
      </c>
      <c r="B7" s="88"/>
      <c r="C7" s="88"/>
      <c r="D7" s="88"/>
      <c r="E7" s="88"/>
      <c r="F7" s="90"/>
      <c r="G7" s="91"/>
      <c r="H7" s="91"/>
    </row>
    <row r="8" spans="1:9" ht="15" customHeight="1" thickTop="1" x14ac:dyDescent="0.2">
      <c r="A8" s="82"/>
      <c r="B8" s="77"/>
      <c r="C8" s="77"/>
      <c r="D8" s="77"/>
      <c r="E8" s="77"/>
      <c r="F8" s="79"/>
      <c r="G8" s="80"/>
      <c r="H8" s="80"/>
    </row>
    <row r="9" spans="1:9" ht="15" customHeight="1" x14ac:dyDescent="0.2">
      <c r="A9" s="82"/>
      <c r="B9" s="77"/>
      <c r="C9" s="77"/>
      <c r="D9" s="77"/>
      <c r="E9" s="77"/>
      <c r="F9" s="79"/>
      <c r="G9" s="80"/>
      <c r="H9" s="80"/>
    </row>
    <row r="10" spans="1:9" ht="15" customHeight="1" x14ac:dyDescent="0.2">
      <c r="A10" s="92" t="s">
        <v>18</v>
      </c>
      <c r="B10" s="77"/>
      <c r="C10" s="77"/>
      <c r="D10" s="77"/>
      <c r="E10" s="77"/>
      <c r="F10" s="79"/>
      <c r="G10" s="80"/>
      <c r="H10" s="80"/>
    </row>
    <row r="11" spans="1:9" ht="15" customHeight="1" x14ac:dyDescent="0.2">
      <c r="A11" s="93" t="s">
        <v>30</v>
      </c>
      <c r="B11" s="77"/>
      <c r="C11" s="77"/>
      <c r="D11" s="77"/>
      <c r="E11" s="77"/>
      <c r="F11" s="79"/>
      <c r="G11" s="80"/>
      <c r="H11" s="80"/>
    </row>
    <row r="12" spans="1:9" ht="15" customHeight="1" x14ac:dyDescent="0.2">
      <c r="A12" s="82"/>
      <c r="B12" s="77"/>
      <c r="C12" s="77"/>
      <c r="D12" s="77"/>
      <c r="E12" s="77"/>
      <c r="F12" s="79"/>
      <c r="G12" s="80"/>
      <c r="H12" s="80"/>
    </row>
    <row r="13" spans="1:9" ht="15" customHeight="1" x14ac:dyDescent="0.2">
      <c r="A13" s="82"/>
      <c r="B13" s="83"/>
      <c r="C13" s="83"/>
      <c r="D13" s="83"/>
      <c r="E13" s="83"/>
      <c r="F13" s="85"/>
      <c r="G13" s="86"/>
      <c r="H13" s="86"/>
    </row>
    <row r="14" spans="1:9" ht="15" customHeight="1" thickBot="1" x14ac:dyDescent="0.25">
      <c r="A14" s="87" t="s">
        <v>20</v>
      </c>
      <c r="B14" s="88"/>
      <c r="C14" s="88"/>
      <c r="D14" s="88"/>
      <c r="E14" s="88"/>
      <c r="F14" s="90"/>
      <c r="G14" s="91"/>
      <c r="H14" s="91"/>
    </row>
    <row r="15" spans="1:9" ht="15" customHeight="1" thickTop="1" x14ac:dyDescent="0.2">
      <c r="A15" s="82"/>
      <c r="B15" s="77"/>
      <c r="C15" s="77"/>
      <c r="D15" s="77"/>
      <c r="E15" s="77"/>
      <c r="F15" s="79"/>
      <c r="G15" s="80"/>
      <c r="H15" s="80"/>
    </row>
    <row r="16" spans="1:9" ht="15" customHeight="1" x14ac:dyDescent="0.2">
      <c r="A16" s="82"/>
      <c r="B16" s="77"/>
      <c r="C16" s="77"/>
      <c r="D16" s="77"/>
      <c r="E16" s="77"/>
      <c r="F16" s="79"/>
      <c r="G16" s="80"/>
      <c r="H16" s="80"/>
    </row>
    <row r="17" spans="1:8" ht="15" customHeight="1" x14ac:dyDescent="0.2">
      <c r="A17" s="92" t="s">
        <v>41</v>
      </c>
      <c r="B17" s="77"/>
      <c r="C17" s="77"/>
      <c r="D17" s="77"/>
      <c r="E17" s="77"/>
      <c r="F17" s="79"/>
      <c r="G17" s="80"/>
      <c r="H17" s="80"/>
    </row>
    <row r="18" spans="1:8" ht="15" customHeight="1" x14ac:dyDescent="0.2">
      <c r="A18" s="93" t="s">
        <v>43</v>
      </c>
      <c r="B18" s="77"/>
      <c r="C18" s="77"/>
      <c r="D18" s="77"/>
      <c r="E18" s="77"/>
      <c r="F18" s="79"/>
      <c r="G18" s="80"/>
      <c r="H18" s="80"/>
    </row>
    <row r="19" spans="1:8" x14ac:dyDescent="0.2">
      <c r="A19" s="82"/>
      <c r="B19" s="83"/>
      <c r="C19" s="83"/>
      <c r="D19" s="83"/>
      <c r="E19" s="83"/>
      <c r="F19" s="85"/>
      <c r="G19" s="86"/>
      <c r="H19" s="86"/>
    </row>
    <row r="20" spans="1:8" ht="13.5" thickBot="1" x14ac:dyDescent="0.25">
      <c r="A20" s="87" t="s">
        <v>20</v>
      </c>
      <c r="B20" s="88"/>
      <c r="C20" s="88"/>
      <c r="D20" s="88"/>
      <c r="E20" s="88"/>
      <c r="F20" s="90"/>
      <c r="G20" s="91"/>
      <c r="H20" s="91"/>
    </row>
    <row r="21" spans="1:8" ht="13.5" thickTop="1" x14ac:dyDescent="0.2">
      <c r="A21" s="82"/>
      <c r="B21" s="77"/>
      <c r="C21" s="77"/>
      <c r="D21" s="77"/>
      <c r="E21" s="77"/>
      <c r="F21" s="79"/>
      <c r="G21" s="80"/>
      <c r="H21" s="80"/>
    </row>
    <row r="22" spans="1:8" x14ac:dyDescent="0.2">
      <c r="A22" s="82"/>
      <c r="B22" s="77"/>
      <c r="C22" s="77"/>
      <c r="D22" s="77"/>
      <c r="E22" s="77"/>
      <c r="F22" s="79"/>
      <c r="G22" s="80"/>
      <c r="H22" s="80"/>
    </row>
    <row r="23" spans="1:8" x14ac:dyDescent="0.2">
      <c r="A23" s="92" t="s">
        <v>41</v>
      </c>
      <c r="B23" s="77"/>
      <c r="C23" s="77"/>
      <c r="D23" s="77"/>
      <c r="E23" s="77"/>
      <c r="F23" s="79"/>
      <c r="G23" s="80"/>
      <c r="H23" s="80"/>
    </row>
    <row r="24" spans="1:8" x14ac:dyDescent="0.2">
      <c r="A24" s="93" t="s">
        <v>50</v>
      </c>
      <c r="B24" s="77"/>
      <c r="C24" s="77"/>
      <c r="D24" s="77"/>
      <c r="E24" s="77"/>
      <c r="F24" s="79"/>
      <c r="G24" s="80"/>
      <c r="H24" s="80"/>
    </row>
    <row r="25" spans="1:8" x14ac:dyDescent="0.2">
      <c r="A25" s="82"/>
      <c r="B25" s="77"/>
      <c r="C25" s="77"/>
      <c r="D25" s="77"/>
      <c r="E25" s="77"/>
      <c r="F25" s="79"/>
      <c r="G25" s="80"/>
      <c r="H25" s="80"/>
    </row>
    <row r="26" spans="1:8" x14ac:dyDescent="0.2">
      <c r="A26" s="82"/>
      <c r="B26" s="83"/>
      <c r="C26" s="83"/>
      <c r="D26" s="83"/>
      <c r="E26" s="83"/>
      <c r="F26" s="85"/>
      <c r="G26" s="86"/>
      <c r="H26" s="86"/>
    </row>
    <row r="27" spans="1:8" ht="13.5" thickBot="1" x14ac:dyDescent="0.25">
      <c r="A27" s="87" t="s">
        <v>20</v>
      </c>
      <c r="B27" s="88"/>
      <c r="C27" s="88"/>
      <c r="D27" s="88"/>
      <c r="E27" s="88"/>
      <c r="F27" s="90"/>
      <c r="G27" s="91"/>
      <c r="H27" s="91"/>
    </row>
    <row r="28" spans="1:8" ht="13.5" thickTop="1" x14ac:dyDescent="0.2">
      <c r="A28" s="76"/>
      <c r="B28" s="77"/>
      <c r="C28" s="77"/>
      <c r="D28" s="77"/>
      <c r="E28" s="77"/>
      <c r="F28" s="79"/>
      <c r="G28" s="80"/>
      <c r="H28" s="80"/>
    </row>
    <row r="29" spans="1:8" x14ac:dyDescent="0.2">
      <c r="A29" s="82"/>
      <c r="B29" s="77"/>
      <c r="C29" s="77"/>
      <c r="D29" s="77"/>
      <c r="E29" s="77"/>
      <c r="F29" s="79"/>
      <c r="G29" s="80"/>
      <c r="H29" s="80"/>
    </row>
    <row r="30" spans="1:8" x14ac:dyDescent="0.2">
      <c r="A30" s="92" t="s">
        <v>59</v>
      </c>
      <c r="B30" s="77"/>
      <c r="C30" s="77"/>
      <c r="D30" s="77"/>
      <c r="E30" s="77"/>
      <c r="F30" s="79"/>
      <c r="G30" s="80"/>
      <c r="H30" s="80"/>
    </row>
    <row r="31" spans="1:8" x14ac:dyDescent="0.2">
      <c r="A31" s="93" t="s">
        <v>60</v>
      </c>
      <c r="B31" s="77"/>
      <c r="C31" s="77"/>
      <c r="D31" s="77"/>
      <c r="E31" s="77"/>
      <c r="F31" s="79"/>
      <c r="G31" s="80"/>
      <c r="H31" s="80"/>
    </row>
    <row r="32" spans="1:8" x14ac:dyDescent="0.2">
      <c r="A32" s="92"/>
      <c r="B32" s="77"/>
      <c r="C32" s="77"/>
      <c r="D32" s="77"/>
      <c r="E32" s="77"/>
      <c r="F32" s="79"/>
      <c r="G32" s="80"/>
      <c r="H32" s="80"/>
    </row>
    <row r="33" spans="1:8" x14ac:dyDescent="0.2">
      <c r="A33" s="92"/>
      <c r="B33" s="94"/>
      <c r="C33" s="94"/>
      <c r="D33" s="94"/>
      <c r="E33" s="94"/>
      <c r="F33" s="96"/>
      <c r="G33" s="97"/>
      <c r="H33" s="97"/>
    </row>
    <row r="34" spans="1:8" ht="13.5" thickBot="1" x14ac:dyDescent="0.25">
      <c r="A34" s="87" t="s">
        <v>20</v>
      </c>
      <c r="B34" s="88"/>
      <c r="C34" s="88"/>
      <c r="D34" s="88"/>
      <c r="E34" s="88"/>
      <c r="F34" s="90"/>
      <c r="G34" s="91"/>
      <c r="H34" s="91"/>
    </row>
    <row r="35" spans="1:8" ht="13.5" thickTop="1" x14ac:dyDescent="0.2">
      <c r="A35" s="76"/>
      <c r="B35" s="77"/>
      <c r="C35" s="77"/>
      <c r="D35" s="77"/>
      <c r="E35" s="77"/>
      <c r="F35" s="79"/>
      <c r="G35" s="80"/>
      <c r="H35" s="80"/>
    </row>
    <row r="36" spans="1:8" x14ac:dyDescent="0.2">
      <c r="A36" s="98"/>
      <c r="B36" s="99"/>
      <c r="C36" s="77"/>
      <c r="D36" s="77"/>
      <c r="E36" s="77"/>
      <c r="F36" s="79"/>
      <c r="G36" s="80"/>
      <c r="H36" s="80"/>
    </row>
    <row r="37" spans="1:8" x14ac:dyDescent="0.2">
      <c r="A37" s="92" t="s">
        <v>279</v>
      </c>
      <c r="B37" s="77"/>
      <c r="C37" s="77"/>
      <c r="D37" s="77"/>
      <c r="E37" s="77"/>
      <c r="F37" s="79"/>
      <c r="G37" s="80"/>
      <c r="H37" s="80"/>
    </row>
    <row r="38" spans="1:8" x14ac:dyDescent="0.2">
      <c r="A38" s="93" t="s">
        <v>67</v>
      </c>
      <c r="B38" s="77"/>
      <c r="C38" s="77"/>
      <c r="D38" s="77"/>
      <c r="E38" s="77"/>
      <c r="F38" s="79"/>
      <c r="G38" s="80"/>
      <c r="H38" s="80"/>
    </row>
    <row r="39" spans="1:8" x14ac:dyDescent="0.2">
      <c r="A39" s="92"/>
      <c r="B39" s="83"/>
      <c r="C39" s="83"/>
      <c r="D39" s="83"/>
      <c r="E39" s="83"/>
      <c r="F39" s="85"/>
      <c r="G39" s="86"/>
      <c r="H39" s="86"/>
    </row>
    <row r="40" spans="1:8" ht="13.5" thickBot="1" x14ac:dyDescent="0.25">
      <c r="A40" s="87" t="s">
        <v>20</v>
      </c>
      <c r="B40" s="88"/>
      <c r="C40" s="88"/>
      <c r="D40" s="88"/>
      <c r="E40" s="88"/>
      <c r="F40" s="90"/>
      <c r="G40" s="91"/>
      <c r="H40" s="91"/>
    </row>
    <row r="41" spans="1:8" ht="13.5" thickTop="1" x14ac:dyDescent="0.2">
      <c r="A41" s="76"/>
      <c r="B41" s="100"/>
      <c r="C41" s="100"/>
      <c r="D41" s="100"/>
      <c r="E41" s="100"/>
      <c r="F41" s="102"/>
      <c r="G41" s="103"/>
      <c r="H41" s="103"/>
    </row>
    <row r="42" spans="1:8" x14ac:dyDescent="0.2">
      <c r="A42" s="92" t="s">
        <v>71</v>
      </c>
      <c r="B42" s="100"/>
      <c r="C42" s="100"/>
      <c r="D42" s="100"/>
      <c r="E42" s="100"/>
      <c r="F42" s="102"/>
      <c r="G42" s="103"/>
      <c r="H42" s="103"/>
    </row>
    <row r="43" spans="1:8" x14ac:dyDescent="0.2">
      <c r="A43" s="93" t="s">
        <v>72</v>
      </c>
      <c r="B43" s="104"/>
      <c r="C43" s="104"/>
      <c r="D43" s="104"/>
      <c r="E43" s="104"/>
      <c r="F43" s="106"/>
      <c r="G43" s="107"/>
      <c r="H43" s="107"/>
    </row>
    <row r="44" spans="1:8" ht="13.5" thickBot="1" x14ac:dyDescent="0.25">
      <c r="A44" s="87" t="s">
        <v>20</v>
      </c>
      <c r="B44" s="108"/>
      <c r="C44" s="108"/>
      <c r="D44" s="108"/>
      <c r="E44" s="108"/>
      <c r="F44" s="110"/>
      <c r="G44" s="111"/>
      <c r="H44" s="111"/>
    </row>
    <row r="45" spans="1:8" ht="13.5" thickTop="1" x14ac:dyDescent="0.2">
      <c r="A45" s="112" t="s">
        <v>280</v>
      </c>
      <c r="B45" s="113"/>
      <c r="C45" s="113"/>
      <c r="D45" s="113"/>
      <c r="E45" s="113"/>
      <c r="F45" s="113"/>
      <c r="G45" s="113"/>
      <c r="H45" s="113"/>
    </row>
    <row r="46" spans="1:8" x14ac:dyDescent="0.2">
      <c r="A46" s="114" t="s">
        <v>282</v>
      </c>
      <c r="B46" s="113"/>
      <c r="C46" s="113"/>
      <c r="D46" s="113"/>
      <c r="E46" s="113"/>
      <c r="F46" s="113"/>
      <c r="G46" s="113"/>
      <c r="H46" s="113"/>
    </row>
    <row r="47" spans="1:8" x14ac:dyDescent="0.2">
      <c r="A47" s="115"/>
      <c r="B47" s="113"/>
      <c r="C47" s="113"/>
      <c r="D47" s="113"/>
      <c r="E47" s="113"/>
      <c r="F47" s="113"/>
      <c r="G47" s="113"/>
      <c r="H47" s="113"/>
    </row>
    <row r="48" spans="1:8" x14ac:dyDescent="0.2">
      <c r="A48" s="115"/>
      <c r="B48" s="113"/>
      <c r="C48" s="113"/>
      <c r="D48" s="113"/>
      <c r="E48" s="113"/>
      <c r="F48" s="113"/>
      <c r="G48" s="113"/>
      <c r="H48" s="113"/>
    </row>
    <row r="49" spans="1:8" x14ac:dyDescent="0.2">
      <c r="A49" s="115"/>
      <c r="B49" s="113"/>
      <c r="C49" s="113"/>
      <c r="D49" s="113"/>
      <c r="E49" s="113"/>
      <c r="F49" s="113"/>
      <c r="G49" s="113"/>
      <c r="H49" s="113"/>
    </row>
    <row r="50" spans="1:8" x14ac:dyDescent="0.2">
      <c r="A50" s="115"/>
      <c r="B50" s="116"/>
      <c r="C50" s="116"/>
      <c r="D50" s="116"/>
      <c r="E50" s="116"/>
      <c r="F50" s="116"/>
      <c r="G50" s="116"/>
      <c r="H50" s="116"/>
    </row>
    <row r="51" spans="1:8" x14ac:dyDescent="0.2">
      <c r="A51" s="117"/>
      <c r="B51" s="116"/>
      <c r="C51" s="116"/>
      <c r="D51" s="116"/>
      <c r="E51" s="116"/>
      <c r="F51" s="116"/>
      <c r="G51" s="116"/>
      <c r="H51" s="116"/>
    </row>
    <row r="52" spans="1:8" x14ac:dyDescent="0.2">
      <c r="A52" s="117"/>
      <c r="B52" s="116"/>
      <c r="C52" s="116"/>
      <c r="D52" s="116"/>
      <c r="E52" s="116"/>
      <c r="F52" s="116"/>
      <c r="G52" s="116"/>
      <c r="H52" s="116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5"/>
      <c r="B59" s="118"/>
      <c r="C59" s="118"/>
      <c r="D59" s="118"/>
      <c r="E59" s="118"/>
      <c r="F59" s="118"/>
      <c r="G59" s="118"/>
      <c r="H59" s="118"/>
    </row>
    <row r="60" spans="1:8" x14ac:dyDescent="0.2">
      <c r="A60" s="117"/>
      <c r="B60" s="118"/>
      <c r="C60" s="118"/>
      <c r="D60" s="118"/>
      <c r="E60" s="118"/>
      <c r="F60" s="118"/>
      <c r="G60" s="118"/>
      <c r="H60" s="118"/>
    </row>
    <row r="61" spans="1:8" x14ac:dyDescent="0.2">
      <c r="A61" s="117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"/>
      <headerFooter alignWithMargins="0">
        <oddHeader>&amp;C2019.09.30-10.06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D49" sqref="D49"/>
      <pageMargins left="0" right="0" top="0" bottom="0" header="0" footer="0"/>
      <printOptions gridLines="1"/>
      <pageSetup paperSize="8" scale="95" orientation="landscape" r:id="rId2"/>
      <headerFooter alignWithMargins="0">
        <oddHeader>&amp;C2019.09.30-10.06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3"/>
      <headerFooter alignWithMargins="0">
        <oddHeader>&amp;C2019.09.30-10.06</oddHeader>
      </headerFooter>
    </customSheetView>
    <customSheetView guid="{4B58F0A9-071E-4376-B7AD-463366669E19}" scale="80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4"/>
      <headerFooter alignWithMargins="0">
        <oddHeader>&amp;C2019.09.30-10.06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&amp;C2019.09.30-10.06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6"/>
      <headerFooter alignWithMargins="0">
        <oddHeader>&amp;C2019.09.30-10.06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7"/>
      <headerFooter alignWithMargins="0">
        <oddHeader>&amp;C2019.09.30-10.06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8"/>
      <headerFooter alignWithMargins="0">
        <oddHeader>&amp;C2019.09.30-10.06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9"/>
      <headerFooter alignWithMargins="0">
        <oddHeader>&amp;C2019.09.30-10.06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0"/>
      <headerFooter alignWithMargins="0">
        <oddHeader>&amp;C2019.09.30-10.06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1"/>
      <headerFooter alignWithMargins="0">
        <oddHeader>&amp;C2019.09.30-10.06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2"/>
      <headerFooter alignWithMargins="0">
        <oddHeader>&amp;C2019.09.30-10.06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8" scale="95" orientation="landscape" r:id="rId13"/>
  <headerFooter alignWithMargins="0">
    <oddHeader>&amp;C2019.09.30-10.06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Munka29"/>
  <dimension ref="A1:I140"/>
  <sheetViews>
    <sheetView zoomScale="80" zoomScaleNormal="80" zoomScaleSheetLayoutView="40" workbookViewId="0">
      <pane ySplit="1" topLeftCell="A2" activePane="bottomLeft" state="frozen"/>
      <selection pane="bottomLeft" activeCell="E25" sqref="E25"/>
    </sheetView>
  </sheetViews>
  <sheetFormatPr defaultColWidth="9.140625" defaultRowHeight="12.75" x14ac:dyDescent="0.2"/>
  <cols>
    <col min="1" max="1" width="10.7109375" style="119" customWidth="1"/>
    <col min="2" max="6" width="30.7109375" style="69" customWidth="1"/>
    <col min="7" max="8" width="20.7109375" style="69" customWidth="1"/>
    <col min="9" max="9" width="30.7109375" style="69" customWidth="1"/>
    <col min="10" max="16384" width="9.140625" style="69"/>
  </cols>
  <sheetData>
    <row r="1" spans="1:9" ht="28.5" customHeight="1" thickTop="1" thickBot="1" x14ac:dyDescent="0.25">
      <c r="A1" s="64" t="s">
        <v>1103</v>
      </c>
      <c r="B1" s="65" t="s">
        <v>1104</v>
      </c>
      <c r="C1" s="65" t="s">
        <v>1105</v>
      </c>
      <c r="D1" s="65" t="s">
        <v>1106</v>
      </c>
      <c r="E1" s="65" t="s">
        <v>1107</v>
      </c>
      <c r="F1" s="65" t="s">
        <v>1108</v>
      </c>
      <c r="G1" s="67" t="s">
        <v>1109</v>
      </c>
      <c r="H1" s="67" t="s">
        <v>1110</v>
      </c>
      <c r="I1" s="68"/>
    </row>
    <row r="2" spans="1:9" ht="15" customHeight="1" x14ac:dyDescent="0.2">
      <c r="A2" s="70"/>
      <c r="B2" s="71"/>
      <c r="C2" s="71"/>
      <c r="D2" s="71"/>
      <c r="E2" s="71"/>
      <c r="F2" s="73"/>
      <c r="G2" s="74"/>
      <c r="H2" s="74"/>
      <c r="I2" s="75"/>
    </row>
    <row r="3" spans="1:9" ht="15" customHeight="1" x14ac:dyDescent="0.2">
      <c r="A3" s="76"/>
      <c r="B3" s="77"/>
      <c r="C3" s="77"/>
      <c r="D3" s="77"/>
      <c r="E3" s="77"/>
      <c r="F3" s="79"/>
      <c r="G3" s="80"/>
      <c r="H3" s="80"/>
      <c r="I3" s="75"/>
    </row>
    <row r="4" spans="1:9" ht="15" customHeight="1" x14ac:dyDescent="0.2">
      <c r="A4" s="76" t="s">
        <v>18</v>
      </c>
      <c r="B4" s="77"/>
      <c r="C4" s="77"/>
      <c r="D4" s="77"/>
      <c r="E4" s="77"/>
      <c r="F4" s="79"/>
      <c r="G4" s="80"/>
      <c r="H4" s="80"/>
    </row>
    <row r="5" spans="1:9" ht="15" customHeight="1" x14ac:dyDescent="0.2">
      <c r="A5" s="81" t="s">
        <v>19</v>
      </c>
      <c r="B5" s="77"/>
      <c r="C5" s="77"/>
      <c r="D5" s="77"/>
      <c r="E5" s="77"/>
      <c r="F5" s="79"/>
      <c r="G5" s="80"/>
      <c r="H5" s="80"/>
    </row>
    <row r="6" spans="1:9" ht="15" customHeight="1" x14ac:dyDescent="0.2">
      <c r="A6" s="82"/>
      <c r="B6" s="83"/>
      <c r="C6" s="83"/>
      <c r="D6" s="83"/>
      <c r="E6" s="83"/>
      <c r="F6" s="85"/>
      <c r="G6" s="86"/>
      <c r="H6" s="86"/>
    </row>
    <row r="7" spans="1:9" ht="15" customHeight="1" thickBot="1" x14ac:dyDescent="0.25">
      <c r="A7" s="87" t="s">
        <v>20</v>
      </c>
      <c r="B7" s="88"/>
      <c r="C7" s="88"/>
      <c r="D7" s="88"/>
      <c r="E7" s="88"/>
      <c r="F7" s="90"/>
      <c r="G7" s="91"/>
      <c r="H7" s="91"/>
    </row>
    <row r="8" spans="1:9" ht="15" customHeight="1" thickTop="1" x14ac:dyDescent="0.2">
      <c r="A8" s="82"/>
      <c r="B8" s="77"/>
      <c r="C8" s="77"/>
      <c r="D8" s="77"/>
      <c r="E8" s="77"/>
      <c r="F8" s="79"/>
      <c r="G8" s="80"/>
      <c r="H8" s="80"/>
    </row>
    <row r="9" spans="1:9" ht="15" customHeight="1" x14ac:dyDescent="0.2">
      <c r="A9" s="82"/>
      <c r="B9" s="77"/>
      <c r="C9" s="77"/>
      <c r="D9" s="77"/>
      <c r="E9" s="77"/>
      <c r="F9" s="79"/>
      <c r="G9" s="80"/>
      <c r="H9" s="80"/>
    </row>
    <row r="10" spans="1:9" ht="15" customHeight="1" x14ac:dyDescent="0.2">
      <c r="A10" s="92" t="s">
        <v>18</v>
      </c>
      <c r="B10" s="77"/>
      <c r="C10" s="77"/>
      <c r="D10" s="77"/>
      <c r="E10" s="77"/>
      <c r="F10" s="79"/>
      <c r="G10" s="80"/>
      <c r="H10" s="80"/>
    </row>
    <row r="11" spans="1:9" ht="15" customHeight="1" x14ac:dyDescent="0.2">
      <c r="A11" s="93" t="s">
        <v>30</v>
      </c>
      <c r="B11" s="77"/>
      <c r="C11" s="77"/>
      <c r="D11" s="77"/>
      <c r="E11" s="77"/>
      <c r="F11" s="79"/>
      <c r="G11" s="80"/>
      <c r="H11" s="80"/>
    </row>
    <row r="12" spans="1:9" ht="15" customHeight="1" x14ac:dyDescent="0.2">
      <c r="A12" s="82"/>
      <c r="B12" s="77"/>
      <c r="C12" s="77"/>
      <c r="D12" s="77"/>
      <c r="E12" s="77"/>
      <c r="F12" s="79"/>
      <c r="G12" s="80"/>
      <c r="H12" s="80"/>
    </row>
    <row r="13" spans="1:9" ht="15" customHeight="1" x14ac:dyDescent="0.2">
      <c r="A13" s="82"/>
      <c r="B13" s="83"/>
      <c r="C13" s="83"/>
      <c r="D13" s="83"/>
      <c r="E13" s="83"/>
      <c r="F13" s="85"/>
      <c r="G13" s="86"/>
      <c r="H13" s="86"/>
    </row>
    <row r="14" spans="1:9" ht="15" customHeight="1" thickBot="1" x14ac:dyDescent="0.25">
      <c r="A14" s="87" t="s">
        <v>20</v>
      </c>
      <c r="B14" s="88"/>
      <c r="C14" s="88"/>
      <c r="D14" s="88"/>
      <c r="E14" s="88"/>
      <c r="F14" s="90"/>
      <c r="G14" s="91"/>
      <c r="H14" s="91"/>
    </row>
    <row r="15" spans="1:9" ht="15" customHeight="1" thickTop="1" x14ac:dyDescent="0.2">
      <c r="A15" s="82"/>
      <c r="B15" s="77"/>
      <c r="C15" s="77"/>
      <c r="D15" s="77"/>
      <c r="E15" s="77"/>
      <c r="F15" s="79"/>
      <c r="G15" s="80"/>
      <c r="H15" s="80"/>
    </row>
    <row r="16" spans="1:9" ht="15" customHeight="1" x14ac:dyDescent="0.2">
      <c r="A16" s="82"/>
      <c r="B16" s="77"/>
      <c r="C16" s="77"/>
      <c r="D16" s="77"/>
      <c r="E16" s="77"/>
      <c r="F16" s="79"/>
      <c r="G16" s="80"/>
      <c r="H16" s="80"/>
    </row>
    <row r="17" spans="1:8" ht="15" customHeight="1" x14ac:dyDescent="0.2">
      <c r="A17" s="92" t="s">
        <v>41</v>
      </c>
      <c r="B17" s="77"/>
      <c r="C17" s="77"/>
      <c r="D17" s="77"/>
      <c r="E17" s="77"/>
      <c r="F17" s="79"/>
      <c r="G17" s="80"/>
      <c r="H17" s="80"/>
    </row>
    <row r="18" spans="1:8" ht="15" customHeight="1" x14ac:dyDescent="0.2">
      <c r="A18" s="93" t="s">
        <v>43</v>
      </c>
      <c r="B18" s="77"/>
      <c r="C18" s="77"/>
      <c r="D18" s="77"/>
      <c r="E18" s="77"/>
      <c r="F18" s="79"/>
      <c r="G18" s="80"/>
      <c r="H18" s="80"/>
    </row>
    <row r="19" spans="1:8" x14ac:dyDescent="0.2">
      <c r="A19" s="82"/>
      <c r="B19" s="83"/>
      <c r="C19" s="83"/>
      <c r="D19" s="83"/>
      <c r="E19" s="83"/>
      <c r="F19" s="85"/>
      <c r="G19" s="86"/>
      <c r="H19" s="86"/>
    </row>
    <row r="20" spans="1:8" ht="13.5" thickBot="1" x14ac:dyDescent="0.25">
      <c r="A20" s="87" t="s">
        <v>20</v>
      </c>
      <c r="B20" s="88"/>
      <c r="C20" s="88"/>
      <c r="D20" s="88"/>
      <c r="E20" s="88"/>
      <c r="F20" s="90"/>
      <c r="G20" s="91"/>
      <c r="H20" s="91"/>
    </row>
    <row r="21" spans="1:8" ht="13.5" thickTop="1" x14ac:dyDescent="0.2">
      <c r="A21" s="82"/>
      <c r="B21" s="77"/>
      <c r="C21" s="77"/>
      <c r="D21" s="77"/>
      <c r="E21" s="77"/>
      <c r="F21" s="79"/>
      <c r="G21" s="80"/>
      <c r="H21" s="80"/>
    </row>
    <row r="22" spans="1:8" x14ac:dyDescent="0.2">
      <c r="A22" s="82"/>
      <c r="B22" s="77"/>
      <c r="C22" s="77"/>
      <c r="D22" s="77"/>
      <c r="E22" s="77"/>
      <c r="F22" s="79"/>
      <c r="G22" s="80"/>
      <c r="H22" s="80"/>
    </row>
    <row r="23" spans="1:8" x14ac:dyDescent="0.2">
      <c r="A23" s="92" t="s">
        <v>41</v>
      </c>
      <c r="B23" s="77"/>
      <c r="C23" s="77"/>
      <c r="D23" s="77"/>
      <c r="E23" s="77"/>
      <c r="F23" s="79"/>
      <c r="G23" s="80"/>
      <c r="H23" s="80"/>
    </row>
    <row r="24" spans="1:8" x14ac:dyDescent="0.2">
      <c r="A24" s="93" t="s">
        <v>50</v>
      </c>
      <c r="B24" s="77"/>
      <c r="C24" s="77"/>
      <c r="D24" s="77"/>
      <c r="E24" s="77"/>
      <c r="F24" s="79"/>
      <c r="G24" s="80"/>
      <c r="H24" s="80"/>
    </row>
    <row r="25" spans="1:8" x14ac:dyDescent="0.2">
      <c r="A25" s="82"/>
      <c r="B25" s="77"/>
      <c r="C25" s="77"/>
      <c r="D25" s="77"/>
      <c r="E25" s="77"/>
      <c r="F25" s="79"/>
      <c r="G25" s="80"/>
      <c r="H25" s="80"/>
    </row>
    <row r="26" spans="1:8" x14ac:dyDescent="0.2">
      <c r="A26" s="82"/>
      <c r="B26" s="83"/>
      <c r="C26" s="83"/>
      <c r="D26" s="83"/>
      <c r="E26" s="83"/>
      <c r="F26" s="85"/>
      <c r="G26" s="86"/>
      <c r="H26" s="86"/>
    </row>
    <row r="27" spans="1:8" ht="13.5" thickBot="1" x14ac:dyDescent="0.25">
      <c r="A27" s="87" t="s">
        <v>20</v>
      </c>
      <c r="B27" s="88"/>
      <c r="C27" s="88"/>
      <c r="D27" s="88"/>
      <c r="E27" s="88"/>
      <c r="F27" s="90"/>
      <c r="G27" s="91"/>
      <c r="H27" s="91"/>
    </row>
    <row r="28" spans="1:8" ht="13.5" thickTop="1" x14ac:dyDescent="0.2">
      <c r="A28" s="76"/>
      <c r="B28" s="77"/>
      <c r="C28" s="77"/>
      <c r="D28" s="77"/>
      <c r="E28" s="77"/>
      <c r="F28" s="79"/>
      <c r="G28" s="80"/>
      <c r="H28" s="80"/>
    </row>
    <row r="29" spans="1:8" x14ac:dyDescent="0.2">
      <c r="A29" s="82"/>
      <c r="B29" s="77"/>
      <c r="C29" s="77"/>
      <c r="D29" s="77"/>
      <c r="E29" s="77"/>
      <c r="F29" s="79"/>
      <c r="G29" s="80"/>
      <c r="H29" s="80"/>
    </row>
    <row r="30" spans="1:8" x14ac:dyDescent="0.2">
      <c r="A30" s="92" t="s">
        <v>59</v>
      </c>
      <c r="B30" s="77"/>
      <c r="C30" s="77"/>
      <c r="D30" s="77"/>
      <c r="E30" s="77"/>
      <c r="F30" s="79"/>
      <c r="G30" s="80"/>
      <c r="H30" s="80"/>
    </row>
    <row r="31" spans="1:8" x14ac:dyDescent="0.2">
      <c r="A31" s="93" t="s">
        <v>60</v>
      </c>
      <c r="B31" s="77"/>
      <c r="C31" s="77"/>
      <c r="D31" s="77"/>
      <c r="E31" s="77"/>
      <c r="F31" s="79"/>
      <c r="G31" s="80"/>
      <c r="H31" s="80"/>
    </row>
    <row r="32" spans="1:8" x14ac:dyDescent="0.2">
      <c r="A32" s="92"/>
      <c r="B32" s="77"/>
      <c r="C32" s="77"/>
      <c r="D32" s="77"/>
      <c r="E32" s="77"/>
      <c r="F32" s="79"/>
      <c r="G32" s="80"/>
      <c r="H32" s="80"/>
    </row>
    <row r="33" spans="1:8" x14ac:dyDescent="0.2">
      <c r="A33" s="92"/>
      <c r="B33" s="94"/>
      <c r="C33" s="94"/>
      <c r="D33" s="94"/>
      <c r="E33" s="94"/>
      <c r="F33" s="96"/>
      <c r="G33" s="97"/>
      <c r="H33" s="97"/>
    </row>
    <row r="34" spans="1:8" ht="13.5" thickBot="1" x14ac:dyDescent="0.25">
      <c r="A34" s="87" t="s">
        <v>20</v>
      </c>
      <c r="B34" s="88"/>
      <c r="C34" s="88"/>
      <c r="D34" s="88"/>
      <c r="E34" s="88"/>
      <c r="F34" s="90"/>
      <c r="G34" s="91"/>
      <c r="H34" s="91"/>
    </row>
    <row r="35" spans="1:8" ht="13.5" thickTop="1" x14ac:dyDescent="0.2">
      <c r="A35" s="76"/>
      <c r="B35" s="77"/>
      <c r="C35" s="77"/>
      <c r="D35" s="77"/>
      <c r="E35" s="77"/>
      <c r="F35" s="79"/>
      <c r="G35" s="80"/>
      <c r="H35" s="80"/>
    </row>
    <row r="36" spans="1:8" x14ac:dyDescent="0.2">
      <c r="A36" s="98"/>
      <c r="B36" s="99"/>
      <c r="C36" s="77"/>
      <c r="D36" s="77"/>
      <c r="E36" s="77"/>
      <c r="F36" s="79"/>
      <c r="G36" s="80"/>
      <c r="H36" s="80"/>
    </row>
    <row r="37" spans="1:8" x14ac:dyDescent="0.2">
      <c r="A37" s="92" t="s">
        <v>279</v>
      </c>
      <c r="B37" s="77"/>
      <c r="C37" s="77"/>
      <c r="D37" s="77"/>
      <c r="E37" s="77"/>
      <c r="F37" s="79"/>
      <c r="G37" s="80"/>
      <c r="H37" s="80"/>
    </row>
    <row r="38" spans="1:8" x14ac:dyDescent="0.2">
      <c r="A38" s="93" t="s">
        <v>67</v>
      </c>
      <c r="B38" s="77"/>
      <c r="C38" s="77"/>
      <c r="D38" s="77"/>
      <c r="E38" s="77"/>
      <c r="F38" s="79"/>
      <c r="G38" s="80"/>
      <c r="H38" s="80"/>
    </row>
    <row r="39" spans="1:8" x14ac:dyDescent="0.2">
      <c r="A39" s="92"/>
      <c r="B39" s="83"/>
      <c r="C39" s="83"/>
      <c r="D39" s="83"/>
      <c r="E39" s="83"/>
      <c r="F39" s="85"/>
      <c r="G39" s="86"/>
      <c r="H39" s="86"/>
    </row>
    <row r="40" spans="1:8" ht="13.5" thickBot="1" x14ac:dyDescent="0.25">
      <c r="A40" s="87" t="s">
        <v>20</v>
      </c>
      <c r="B40" s="88"/>
      <c r="C40" s="88"/>
      <c r="D40" s="88"/>
      <c r="E40" s="88"/>
      <c r="F40" s="90"/>
      <c r="G40" s="91"/>
      <c r="H40" s="91"/>
    </row>
    <row r="41" spans="1:8" ht="13.5" thickTop="1" x14ac:dyDescent="0.2">
      <c r="A41" s="76"/>
      <c r="B41" s="100"/>
      <c r="C41" s="100"/>
      <c r="D41" s="100"/>
      <c r="E41" s="100"/>
      <c r="F41" s="102"/>
      <c r="G41" s="103"/>
      <c r="H41" s="103"/>
    </row>
    <row r="42" spans="1:8" x14ac:dyDescent="0.2">
      <c r="A42" s="92" t="s">
        <v>71</v>
      </c>
      <c r="B42" s="100"/>
      <c r="C42" s="100"/>
      <c r="D42" s="100"/>
      <c r="E42" s="100"/>
      <c r="F42" s="102"/>
      <c r="G42" s="103"/>
      <c r="H42" s="103"/>
    </row>
    <row r="43" spans="1:8" x14ac:dyDescent="0.2">
      <c r="A43" s="93" t="s">
        <v>72</v>
      </c>
      <c r="B43" s="104"/>
      <c r="C43" s="104"/>
      <c r="D43" s="104"/>
      <c r="E43" s="104"/>
      <c r="F43" s="106"/>
      <c r="G43" s="107"/>
      <c r="H43" s="107"/>
    </row>
    <row r="44" spans="1:8" ht="13.5" thickBot="1" x14ac:dyDescent="0.25">
      <c r="A44" s="87" t="s">
        <v>20</v>
      </c>
      <c r="B44" s="108"/>
      <c r="C44" s="108"/>
      <c r="D44" s="108"/>
      <c r="E44" s="108"/>
      <c r="F44" s="110"/>
      <c r="G44" s="111"/>
      <c r="H44" s="111"/>
    </row>
    <row r="45" spans="1:8" ht="13.5" thickTop="1" x14ac:dyDescent="0.2">
      <c r="A45" s="112" t="s">
        <v>280</v>
      </c>
      <c r="B45" s="113"/>
      <c r="C45" s="113"/>
      <c r="D45" s="113"/>
      <c r="E45" s="113"/>
      <c r="F45" s="113"/>
      <c r="G45" s="113"/>
      <c r="H45" s="113"/>
    </row>
    <row r="46" spans="1:8" x14ac:dyDescent="0.2">
      <c r="A46" s="114" t="s">
        <v>282</v>
      </c>
      <c r="B46" s="113"/>
      <c r="C46" s="113"/>
      <c r="D46" s="113"/>
      <c r="E46" s="113"/>
      <c r="F46" s="113"/>
      <c r="G46" s="113"/>
      <c r="H46" s="113"/>
    </row>
    <row r="47" spans="1:8" x14ac:dyDescent="0.2">
      <c r="A47" s="115"/>
      <c r="B47" s="113"/>
      <c r="C47" s="113"/>
      <c r="D47" s="113"/>
      <c r="E47" s="113"/>
      <c r="F47" s="113"/>
      <c r="G47" s="113"/>
      <c r="H47" s="113"/>
    </row>
    <row r="48" spans="1:8" x14ac:dyDescent="0.2">
      <c r="A48" s="115"/>
      <c r="B48" s="113"/>
      <c r="C48" s="113"/>
      <c r="D48" s="113"/>
      <c r="E48" s="113"/>
      <c r="F48" s="113"/>
      <c r="G48" s="113"/>
      <c r="H48" s="113"/>
    </row>
    <row r="49" spans="1:8" x14ac:dyDescent="0.2">
      <c r="A49" s="115"/>
      <c r="B49" s="113"/>
      <c r="C49" s="113"/>
      <c r="D49" s="113"/>
      <c r="E49" s="113"/>
      <c r="F49" s="113"/>
      <c r="G49" s="113"/>
      <c r="H49" s="113"/>
    </row>
    <row r="50" spans="1:8" x14ac:dyDescent="0.2">
      <c r="A50" s="115"/>
      <c r="B50" s="116"/>
      <c r="C50" s="116"/>
      <c r="D50" s="116"/>
      <c r="E50" s="116"/>
      <c r="F50" s="116"/>
      <c r="G50" s="116"/>
      <c r="H50" s="116"/>
    </row>
    <row r="51" spans="1:8" x14ac:dyDescent="0.2">
      <c r="A51" s="117"/>
      <c r="B51" s="116"/>
      <c r="C51" s="116"/>
      <c r="D51" s="116"/>
      <c r="E51" s="116"/>
      <c r="F51" s="116"/>
      <c r="G51" s="116"/>
      <c r="H51" s="116"/>
    </row>
    <row r="52" spans="1:8" x14ac:dyDescent="0.2">
      <c r="A52" s="117"/>
      <c r="B52" s="116"/>
      <c r="C52" s="116"/>
      <c r="D52" s="116"/>
      <c r="E52" s="116"/>
      <c r="F52" s="116"/>
      <c r="G52" s="116"/>
      <c r="H52" s="116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5"/>
      <c r="B59" s="118"/>
      <c r="C59" s="118"/>
      <c r="D59" s="118"/>
      <c r="E59" s="118"/>
      <c r="F59" s="118"/>
      <c r="G59" s="118"/>
      <c r="H59" s="118"/>
    </row>
    <row r="60" spans="1:8" x14ac:dyDescent="0.2">
      <c r="A60" s="117"/>
      <c r="B60" s="118"/>
      <c r="C60" s="118"/>
      <c r="D60" s="118"/>
      <c r="E60" s="118"/>
      <c r="F60" s="118"/>
      <c r="G60" s="118"/>
      <c r="H60" s="118"/>
    </row>
    <row r="61" spans="1:8" x14ac:dyDescent="0.2">
      <c r="A61" s="117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"/>
      <headerFooter alignWithMargins="0">
        <oddHeader>&amp;C2019.10.07-13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2"/>
      <headerFooter alignWithMargins="0">
        <oddHeader>&amp;C2019.10.07-13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3"/>
      <headerFooter alignWithMargins="0">
        <oddHeader>&amp;C2019.10.07-13</oddHeader>
      </headerFooter>
    </customSheetView>
    <customSheetView guid="{4B58F0A9-071E-4376-B7AD-463366669E19}" scale="80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4"/>
      <headerFooter alignWithMargins="0">
        <oddHeader>&amp;C2019.10.07-13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&amp;C2019.10.07-13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6"/>
      <headerFooter alignWithMargins="0">
        <oddHeader>&amp;C2019.10.07-13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7"/>
      <headerFooter alignWithMargins="0">
        <oddHeader>&amp;C2019.10.07-13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8"/>
      <headerFooter alignWithMargins="0">
        <oddHeader>&amp;C2019.10.07-13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9"/>
      <headerFooter alignWithMargins="0">
        <oddHeader>&amp;C2019.10.07-13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0"/>
      <headerFooter alignWithMargins="0">
        <oddHeader>&amp;C2019.10.07-13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1"/>
      <headerFooter alignWithMargins="0">
        <oddHeader>&amp;C2019.10.07-13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2"/>
      <headerFooter alignWithMargins="0">
        <oddHeader>&amp;C2019.10.07-13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8" scale="95" orientation="landscape" r:id="rId13"/>
  <headerFooter alignWithMargins="0">
    <oddHeader>&amp;C2019.10.07-13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Munka30"/>
  <dimension ref="A1:I140"/>
  <sheetViews>
    <sheetView zoomScale="80" zoomScaleNormal="80" zoomScaleSheetLayoutView="40" workbookViewId="0">
      <pane ySplit="1" topLeftCell="A2" activePane="bottomLeft" state="frozen"/>
      <selection pane="bottomLeft" activeCell="E25" sqref="E25"/>
    </sheetView>
  </sheetViews>
  <sheetFormatPr defaultColWidth="9.140625" defaultRowHeight="12.75" x14ac:dyDescent="0.2"/>
  <cols>
    <col min="1" max="1" width="10.7109375" style="119" customWidth="1"/>
    <col min="2" max="6" width="30.7109375" style="69" customWidth="1"/>
    <col min="7" max="8" width="20.7109375" style="69" customWidth="1"/>
    <col min="9" max="9" width="30.7109375" style="69" customWidth="1"/>
    <col min="10" max="16384" width="9.140625" style="69"/>
  </cols>
  <sheetData>
    <row r="1" spans="1:9" ht="28.5" customHeight="1" thickTop="1" thickBot="1" x14ac:dyDescent="0.25">
      <c r="A1" s="64" t="s">
        <v>1111</v>
      </c>
      <c r="B1" s="65" t="s">
        <v>1112</v>
      </c>
      <c r="C1" s="65" t="s">
        <v>1113</v>
      </c>
      <c r="D1" s="65" t="s">
        <v>1114</v>
      </c>
      <c r="E1" s="65" t="s">
        <v>1115</v>
      </c>
      <c r="F1" s="65" t="s">
        <v>1116</v>
      </c>
      <c r="G1" s="67" t="s">
        <v>1117</v>
      </c>
      <c r="H1" s="67" t="s">
        <v>1118</v>
      </c>
      <c r="I1" s="68"/>
    </row>
    <row r="2" spans="1:9" ht="15" customHeight="1" x14ac:dyDescent="0.2">
      <c r="A2" s="70"/>
      <c r="B2" s="71"/>
      <c r="C2" s="71"/>
      <c r="D2" s="71"/>
      <c r="E2" s="71"/>
      <c r="F2" s="73"/>
      <c r="G2" s="74"/>
      <c r="H2" s="74"/>
      <c r="I2" s="75"/>
    </row>
    <row r="3" spans="1:9" ht="15" customHeight="1" x14ac:dyDescent="0.2">
      <c r="A3" s="76"/>
      <c r="B3" s="77"/>
      <c r="C3" s="77"/>
      <c r="D3" s="77"/>
      <c r="E3" s="77"/>
      <c r="F3" s="79"/>
      <c r="G3" s="80"/>
      <c r="H3" s="80"/>
      <c r="I3" s="75"/>
    </row>
    <row r="4" spans="1:9" ht="15" customHeight="1" x14ac:dyDescent="0.2">
      <c r="A4" s="76" t="s">
        <v>18</v>
      </c>
      <c r="B4" s="77"/>
      <c r="C4" s="77"/>
      <c r="D4" s="77"/>
      <c r="E4" s="77"/>
      <c r="F4" s="79"/>
      <c r="G4" s="80"/>
      <c r="H4" s="80"/>
    </row>
    <row r="5" spans="1:9" ht="15" customHeight="1" x14ac:dyDescent="0.2">
      <c r="A5" s="81" t="s">
        <v>19</v>
      </c>
      <c r="B5" s="77"/>
      <c r="C5" s="77"/>
      <c r="D5" s="77"/>
      <c r="E5" s="77"/>
      <c r="F5" s="79"/>
      <c r="G5" s="80"/>
      <c r="H5" s="80"/>
    </row>
    <row r="6" spans="1:9" ht="15" customHeight="1" x14ac:dyDescent="0.2">
      <c r="A6" s="82"/>
      <c r="B6" s="83"/>
      <c r="C6" s="83"/>
      <c r="D6" s="83"/>
      <c r="E6" s="83"/>
      <c r="F6" s="85"/>
      <c r="G6" s="86"/>
      <c r="H6" s="86"/>
    </row>
    <row r="7" spans="1:9" ht="15" customHeight="1" thickBot="1" x14ac:dyDescent="0.25">
      <c r="A7" s="87" t="s">
        <v>20</v>
      </c>
      <c r="B7" s="88"/>
      <c r="C7" s="88"/>
      <c r="D7" s="88"/>
      <c r="E7" s="88"/>
      <c r="F7" s="90"/>
      <c r="G7" s="91"/>
      <c r="H7" s="91"/>
    </row>
    <row r="8" spans="1:9" ht="15" customHeight="1" thickTop="1" x14ac:dyDescent="0.2">
      <c r="A8" s="82"/>
      <c r="B8" s="77"/>
      <c r="C8" s="77"/>
      <c r="D8" s="77"/>
      <c r="E8" s="77"/>
      <c r="F8" s="79"/>
      <c r="G8" s="80"/>
      <c r="H8" s="80"/>
    </row>
    <row r="9" spans="1:9" ht="15" customHeight="1" x14ac:dyDescent="0.2">
      <c r="A9" s="82"/>
      <c r="B9" s="77"/>
      <c r="C9" s="77"/>
      <c r="D9" s="77"/>
      <c r="E9" s="77"/>
      <c r="F9" s="79"/>
      <c r="G9" s="80"/>
      <c r="H9" s="80"/>
    </row>
    <row r="10" spans="1:9" ht="15" customHeight="1" x14ac:dyDescent="0.2">
      <c r="A10" s="92" t="s">
        <v>18</v>
      </c>
      <c r="B10" s="77"/>
      <c r="C10" s="77"/>
      <c r="D10" s="77"/>
      <c r="E10" s="77"/>
      <c r="F10" s="79"/>
      <c r="G10" s="80"/>
      <c r="H10" s="80"/>
    </row>
    <row r="11" spans="1:9" ht="15" customHeight="1" x14ac:dyDescent="0.2">
      <c r="A11" s="93" t="s">
        <v>30</v>
      </c>
      <c r="B11" s="77"/>
      <c r="C11" s="77"/>
      <c r="D11" s="77"/>
      <c r="E11" s="77"/>
      <c r="F11" s="79"/>
      <c r="G11" s="80"/>
      <c r="H11" s="80"/>
    </row>
    <row r="12" spans="1:9" ht="15" customHeight="1" x14ac:dyDescent="0.2">
      <c r="A12" s="82"/>
      <c r="B12" s="77"/>
      <c r="C12" s="77"/>
      <c r="D12" s="77"/>
      <c r="E12" s="77"/>
      <c r="F12" s="79"/>
      <c r="G12" s="80"/>
      <c r="H12" s="80"/>
    </row>
    <row r="13" spans="1:9" ht="15" customHeight="1" x14ac:dyDescent="0.2">
      <c r="A13" s="82"/>
      <c r="B13" s="83"/>
      <c r="C13" s="83"/>
      <c r="D13" s="83"/>
      <c r="E13" s="83"/>
      <c r="F13" s="85"/>
      <c r="G13" s="86"/>
      <c r="H13" s="86"/>
    </row>
    <row r="14" spans="1:9" ht="15" customHeight="1" thickBot="1" x14ac:dyDescent="0.25">
      <c r="A14" s="87" t="s">
        <v>20</v>
      </c>
      <c r="B14" s="88"/>
      <c r="C14" s="88"/>
      <c r="D14" s="88"/>
      <c r="E14" s="88"/>
      <c r="F14" s="90"/>
      <c r="G14" s="91"/>
      <c r="H14" s="91"/>
    </row>
    <row r="15" spans="1:9" ht="15" customHeight="1" thickTop="1" x14ac:dyDescent="0.2">
      <c r="A15" s="82"/>
      <c r="B15" s="77"/>
      <c r="C15" s="77"/>
      <c r="D15" s="77"/>
      <c r="E15" s="77"/>
      <c r="F15" s="79"/>
      <c r="G15" s="80"/>
      <c r="H15" s="80"/>
    </row>
    <row r="16" spans="1:9" ht="15" customHeight="1" x14ac:dyDescent="0.2">
      <c r="A16" s="82"/>
      <c r="B16" s="77"/>
      <c r="C16" s="77"/>
      <c r="D16" s="77"/>
      <c r="E16" s="77"/>
      <c r="F16" s="79"/>
      <c r="G16" s="80"/>
      <c r="H16" s="80"/>
    </row>
    <row r="17" spans="1:8" ht="15" customHeight="1" x14ac:dyDescent="0.2">
      <c r="A17" s="92" t="s">
        <v>41</v>
      </c>
      <c r="B17" s="77"/>
      <c r="C17" s="77"/>
      <c r="D17" s="77"/>
      <c r="E17" s="77"/>
      <c r="F17" s="79"/>
      <c r="G17" s="80"/>
      <c r="H17" s="80"/>
    </row>
    <row r="18" spans="1:8" ht="15" customHeight="1" x14ac:dyDescent="0.2">
      <c r="A18" s="93" t="s">
        <v>43</v>
      </c>
      <c r="B18" s="77"/>
      <c r="C18" s="77"/>
      <c r="D18" s="77"/>
      <c r="E18" s="77"/>
      <c r="F18" s="79"/>
      <c r="G18" s="80"/>
      <c r="H18" s="80"/>
    </row>
    <row r="19" spans="1:8" x14ac:dyDescent="0.2">
      <c r="A19" s="82"/>
      <c r="B19" s="83"/>
      <c r="C19" s="83"/>
      <c r="D19" s="83"/>
      <c r="E19" s="83"/>
      <c r="F19" s="85"/>
      <c r="G19" s="86"/>
      <c r="H19" s="86"/>
    </row>
    <row r="20" spans="1:8" ht="13.5" thickBot="1" x14ac:dyDescent="0.25">
      <c r="A20" s="87" t="s">
        <v>20</v>
      </c>
      <c r="B20" s="88"/>
      <c r="C20" s="88"/>
      <c r="D20" s="88"/>
      <c r="E20" s="88"/>
      <c r="F20" s="90"/>
      <c r="G20" s="91"/>
      <c r="H20" s="91"/>
    </row>
    <row r="21" spans="1:8" ht="13.5" thickTop="1" x14ac:dyDescent="0.2">
      <c r="A21" s="82"/>
      <c r="B21" s="77"/>
      <c r="C21" s="77"/>
      <c r="D21" s="77"/>
      <c r="E21" s="77"/>
      <c r="F21" s="79"/>
      <c r="G21" s="80"/>
      <c r="H21" s="80"/>
    </row>
    <row r="22" spans="1:8" x14ac:dyDescent="0.2">
      <c r="A22" s="82"/>
      <c r="B22" s="77"/>
      <c r="C22" s="77"/>
      <c r="D22" s="77"/>
      <c r="E22" s="77"/>
      <c r="F22" s="79"/>
      <c r="G22" s="80"/>
      <c r="H22" s="80"/>
    </row>
    <row r="23" spans="1:8" x14ac:dyDescent="0.2">
      <c r="A23" s="92" t="s">
        <v>41</v>
      </c>
      <c r="B23" s="77"/>
      <c r="C23" s="77"/>
      <c r="D23" s="77"/>
      <c r="E23" s="77"/>
      <c r="F23" s="79"/>
      <c r="G23" s="80"/>
      <c r="H23" s="80"/>
    </row>
    <row r="24" spans="1:8" x14ac:dyDescent="0.2">
      <c r="A24" s="93" t="s">
        <v>50</v>
      </c>
      <c r="B24" s="77"/>
      <c r="C24" s="77"/>
      <c r="D24" s="77"/>
      <c r="E24" s="77"/>
      <c r="F24" s="79"/>
      <c r="G24" s="80"/>
      <c r="H24" s="80"/>
    </row>
    <row r="25" spans="1:8" x14ac:dyDescent="0.2">
      <c r="A25" s="82"/>
      <c r="B25" s="77"/>
      <c r="C25" s="77"/>
      <c r="D25" s="77"/>
      <c r="E25" s="77"/>
      <c r="F25" s="79"/>
      <c r="G25" s="80"/>
      <c r="H25" s="80"/>
    </row>
    <row r="26" spans="1:8" x14ac:dyDescent="0.2">
      <c r="A26" s="82"/>
      <c r="B26" s="83"/>
      <c r="C26" s="83"/>
      <c r="D26" s="83"/>
      <c r="E26" s="83"/>
      <c r="F26" s="85"/>
      <c r="G26" s="86"/>
      <c r="H26" s="86"/>
    </row>
    <row r="27" spans="1:8" ht="13.5" thickBot="1" x14ac:dyDescent="0.25">
      <c r="A27" s="87" t="s">
        <v>20</v>
      </c>
      <c r="B27" s="88"/>
      <c r="C27" s="88"/>
      <c r="D27" s="88"/>
      <c r="E27" s="88"/>
      <c r="F27" s="90"/>
      <c r="G27" s="91"/>
      <c r="H27" s="91"/>
    </row>
    <row r="28" spans="1:8" ht="13.5" thickTop="1" x14ac:dyDescent="0.2">
      <c r="A28" s="76"/>
      <c r="B28" s="77"/>
      <c r="C28" s="77"/>
      <c r="D28" s="77"/>
      <c r="E28" s="77"/>
      <c r="F28" s="79"/>
      <c r="G28" s="80"/>
      <c r="H28" s="80"/>
    </row>
    <row r="29" spans="1:8" x14ac:dyDescent="0.2">
      <c r="A29" s="82"/>
      <c r="B29" s="77"/>
      <c r="C29" s="77"/>
      <c r="D29" s="77"/>
      <c r="E29" s="77"/>
      <c r="F29" s="79"/>
      <c r="G29" s="80"/>
      <c r="H29" s="80"/>
    </row>
    <row r="30" spans="1:8" x14ac:dyDescent="0.2">
      <c r="A30" s="92" t="s">
        <v>59</v>
      </c>
      <c r="B30" s="77"/>
      <c r="C30" s="77"/>
      <c r="D30" s="77"/>
      <c r="E30" s="77"/>
      <c r="F30" s="79"/>
      <c r="G30" s="80"/>
      <c r="H30" s="80"/>
    </row>
    <row r="31" spans="1:8" x14ac:dyDescent="0.2">
      <c r="A31" s="93" t="s">
        <v>60</v>
      </c>
      <c r="B31" s="77"/>
      <c r="C31" s="77"/>
      <c r="D31" s="77"/>
      <c r="E31" s="77"/>
      <c r="F31" s="79"/>
      <c r="G31" s="80"/>
      <c r="H31" s="80"/>
    </row>
    <row r="32" spans="1:8" x14ac:dyDescent="0.2">
      <c r="A32" s="92"/>
      <c r="B32" s="77"/>
      <c r="C32" s="77"/>
      <c r="D32" s="77"/>
      <c r="E32" s="77"/>
      <c r="F32" s="79"/>
      <c r="G32" s="80"/>
      <c r="H32" s="80"/>
    </row>
    <row r="33" spans="1:8" x14ac:dyDescent="0.2">
      <c r="A33" s="92"/>
      <c r="B33" s="94"/>
      <c r="C33" s="94"/>
      <c r="D33" s="94"/>
      <c r="E33" s="94"/>
      <c r="F33" s="96"/>
      <c r="G33" s="97"/>
      <c r="H33" s="97"/>
    </row>
    <row r="34" spans="1:8" ht="13.5" thickBot="1" x14ac:dyDescent="0.25">
      <c r="A34" s="87" t="s">
        <v>20</v>
      </c>
      <c r="B34" s="88"/>
      <c r="C34" s="88"/>
      <c r="D34" s="88"/>
      <c r="E34" s="88"/>
      <c r="F34" s="90"/>
      <c r="G34" s="91"/>
      <c r="H34" s="91"/>
    </row>
    <row r="35" spans="1:8" ht="13.5" thickTop="1" x14ac:dyDescent="0.2">
      <c r="A35" s="76"/>
      <c r="B35" s="77"/>
      <c r="C35" s="77"/>
      <c r="D35" s="77"/>
      <c r="E35" s="77"/>
      <c r="F35" s="79"/>
      <c r="G35" s="80"/>
      <c r="H35" s="80"/>
    </row>
    <row r="36" spans="1:8" x14ac:dyDescent="0.2">
      <c r="A36" s="98"/>
      <c r="B36" s="99"/>
      <c r="C36" s="77"/>
      <c r="D36" s="77"/>
      <c r="E36" s="77"/>
      <c r="F36" s="79"/>
      <c r="G36" s="80"/>
      <c r="H36" s="80"/>
    </row>
    <row r="37" spans="1:8" x14ac:dyDescent="0.2">
      <c r="A37" s="92" t="s">
        <v>279</v>
      </c>
      <c r="B37" s="77"/>
      <c r="C37" s="77"/>
      <c r="D37" s="77"/>
      <c r="E37" s="77"/>
      <c r="F37" s="79"/>
      <c r="G37" s="80"/>
      <c r="H37" s="80"/>
    </row>
    <row r="38" spans="1:8" x14ac:dyDescent="0.2">
      <c r="A38" s="93" t="s">
        <v>67</v>
      </c>
      <c r="B38" s="77"/>
      <c r="C38" s="77"/>
      <c r="D38" s="77"/>
      <c r="E38" s="77"/>
      <c r="F38" s="79"/>
      <c r="G38" s="80"/>
      <c r="H38" s="80"/>
    </row>
    <row r="39" spans="1:8" x14ac:dyDescent="0.2">
      <c r="A39" s="92"/>
      <c r="B39" s="83"/>
      <c r="C39" s="83"/>
      <c r="D39" s="83"/>
      <c r="E39" s="83"/>
      <c r="F39" s="85"/>
      <c r="G39" s="86"/>
      <c r="H39" s="86"/>
    </row>
    <row r="40" spans="1:8" ht="13.5" thickBot="1" x14ac:dyDescent="0.25">
      <c r="A40" s="87" t="s">
        <v>20</v>
      </c>
      <c r="B40" s="88"/>
      <c r="C40" s="88"/>
      <c r="D40" s="88"/>
      <c r="E40" s="88"/>
      <c r="F40" s="90"/>
      <c r="G40" s="91"/>
      <c r="H40" s="91"/>
    </row>
    <row r="41" spans="1:8" ht="13.5" thickTop="1" x14ac:dyDescent="0.2">
      <c r="A41" s="76"/>
      <c r="B41" s="100"/>
      <c r="C41" s="100"/>
      <c r="D41" s="100"/>
      <c r="E41" s="100"/>
      <c r="F41" s="102"/>
      <c r="G41" s="103"/>
      <c r="H41" s="103"/>
    </row>
    <row r="42" spans="1:8" x14ac:dyDescent="0.2">
      <c r="A42" s="92" t="s">
        <v>71</v>
      </c>
      <c r="B42" s="100"/>
      <c r="C42" s="100"/>
      <c r="D42" s="100"/>
      <c r="E42" s="100"/>
      <c r="F42" s="102"/>
      <c r="G42" s="103"/>
      <c r="H42" s="103"/>
    </row>
    <row r="43" spans="1:8" x14ac:dyDescent="0.2">
      <c r="A43" s="93" t="s">
        <v>72</v>
      </c>
      <c r="B43" s="104"/>
      <c r="C43" s="104"/>
      <c r="D43" s="104"/>
      <c r="E43" s="104"/>
      <c r="F43" s="106"/>
      <c r="G43" s="107"/>
      <c r="H43" s="107"/>
    </row>
    <row r="44" spans="1:8" ht="13.5" thickBot="1" x14ac:dyDescent="0.25">
      <c r="A44" s="87" t="s">
        <v>20</v>
      </c>
      <c r="B44" s="108"/>
      <c r="C44" s="108"/>
      <c r="D44" s="108"/>
      <c r="E44" s="108"/>
      <c r="F44" s="110"/>
      <c r="G44" s="111"/>
      <c r="H44" s="111"/>
    </row>
    <row r="45" spans="1:8" ht="13.5" thickTop="1" x14ac:dyDescent="0.2">
      <c r="A45" s="112" t="s">
        <v>280</v>
      </c>
      <c r="B45" s="113"/>
      <c r="C45" s="113"/>
      <c r="D45" s="113"/>
      <c r="E45" s="113"/>
      <c r="F45" s="113"/>
      <c r="G45" s="113"/>
      <c r="H45" s="113"/>
    </row>
    <row r="46" spans="1:8" x14ac:dyDescent="0.2">
      <c r="A46" s="114" t="s">
        <v>282</v>
      </c>
      <c r="B46" s="113"/>
      <c r="C46" s="113"/>
      <c r="D46" s="113"/>
      <c r="E46" s="113"/>
      <c r="F46" s="113"/>
      <c r="G46" s="113"/>
      <c r="H46" s="113"/>
    </row>
    <row r="47" spans="1:8" x14ac:dyDescent="0.2">
      <c r="A47" s="115"/>
      <c r="B47" s="113"/>
      <c r="C47" s="113"/>
      <c r="D47" s="113"/>
      <c r="E47" s="113"/>
      <c r="F47" s="113"/>
      <c r="G47" s="113"/>
      <c r="H47" s="113"/>
    </row>
    <row r="48" spans="1:8" x14ac:dyDescent="0.2">
      <c r="A48" s="115"/>
      <c r="B48" s="113"/>
      <c r="C48" s="113"/>
      <c r="D48" s="113"/>
      <c r="E48" s="113"/>
      <c r="F48" s="113"/>
      <c r="G48" s="113"/>
      <c r="H48" s="113"/>
    </row>
    <row r="49" spans="1:8" x14ac:dyDescent="0.2">
      <c r="A49" s="115"/>
      <c r="B49" s="113"/>
      <c r="C49" s="113"/>
      <c r="D49" s="113"/>
      <c r="E49" s="113"/>
      <c r="F49" s="113"/>
      <c r="G49" s="113"/>
      <c r="H49" s="113"/>
    </row>
    <row r="50" spans="1:8" x14ac:dyDescent="0.2">
      <c r="A50" s="115"/>
      <c r="B50" s="116"/>
      <c r="C50" s="116"/>
      <c r="D50" s="116"/>
      <c r="E50" s="116"/>
      <c r="F50" s="116"/>
      <c r="G50" s="116"/>
      <c r="H50" s="116"/>
    </row>
    <row r="51" spans="1:8" x14ac:dyDescent="0.2">
      <c r="A51" s="117"/>
      <c r="B51" s="116"/>
      <c r="C51" s="116"/>
      <c r="D51" s="116"/>
      <c r="E51" s="116"/>
      <c r="F51" s="116"/>
      <c r="G51" s="116"/>
      <c r="H51" s="116"/>
    </row>
    <row r="52" spans="1:8" x14ac:dyDescent="0.2">
      <c r="A52" s="117"/>
      <c r="B52" s="116"/>
      <c r="C52" s="116"/>
      <c r="D52" s="116"/>
      <c r="E52" s="116"/>
      <c r="F52" s="116"/>
      <c r="G52" s="116"/>
      <c r="H52" s="116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5"/>
      <c r="B59" s="118"/>
      <c r="C59" s="118"/>
      <c r="D59" s="118"/>
      <c r="E59" s="118"/>
      <c r="F59" s="118"/>
      <c r="G59" s="118"/>
      <c r="H59" s="118"/>
    </row>
    <row r="60" spans="1:8" x14ac:dyDescent="0.2">
      <c r="A60" s="117"/>
      <c r="B60" s="118"/>
      <c r="C60" s="118"/>
      <c r="D60" s="118"/>
      <c r="E60" s="118"/>
      <c r="F60" s="118"/>
      <c r="G60" s="118"/>
      <c r="H60" s="118"/>
    </row>
    <row r="61" spans="1:8" x14ac:dyDescent="0.2">
      <c r="A61" s="117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"/>
      <headerFooter alignWithMargins="0">
        <oddHeader>&amp;C2019.10.14-20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2"/>
      <headerFooter alignWithMargins="0">
        <oddHeader>&amp;C2019.10.14-20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3"/>
      <headerFooter alignWithMargins="0">
        <oddHeader>&amp;C2019.10.14-20</oddHeader>
      </headerFooter>
    </customSheetView>
    <customSheetView guid="{4B58F0A9-071E-4376-B7AD-463366669E19}" scale="80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4"/>
      <headerFooter alignWithMargins="0">
        <oddHeader>&amp;C2019.10.14-20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&amp;C2019.10.14-20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6"/>
      <headerFooter alignWithMargins="0">
        <oddHeader>&amp;C2019.10.14-20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7"/>
      <headerFooter alignWithMargins="0">
        <oddHeader>&amp;C2019.10.14-20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8"/>
      <headerFooter alignWithMargins="0">
        <oddHeader>&amp;C2019.10.14-20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9"/>
      <headerFooter alignWithMargins="0">
        <oddHeader>&amp;C2019.10.14-20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0"/>
      <headerFooter alignWithMargins="0">
        <oddHeader>&amp;C2019.10.14-20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1"/>
      <headerFooter alignWithMargins="0">
        <oddHeader>&amp;C2019.10.14-20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2"/>
      <headerFooter alignWithMargins="0">
        <oddHeader>&amp;C2019.10.14-20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8" scale="95" orientation="landscape" r:id="rId13"/>
  <headerFooter alignWithMargins="0">
    <oddHeader>&amp;C2019.10.14-20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Munka31"/>
  <dimension ref="A1:I140"/>
  <sheetViews>
    <sheetView zoomScale="80" zoomScaleNormal="80" zoomScaleSheetLayoutView="40" workbookViewId="0">
      <pane ySplit="1" topLeftCell="A2" activePane="bottomLeft" state="frozen"/>
      <selection pane="bottomLeft" activeCell="E25" sqref="E25"/>
    </sheetView>
  </sheetViews>
  <sheetFormatPr defaultColWidth="9.140625" defaultRowHeight="12.75" x14ac:dyDescent="0.2"/>
  <cols>
    <col min="1" max="1" width="10.7109375" style="119" customWidth="1"/>
    <col min="2" max="6" width="30.7109375" style="69" customWidth="1"/>
    <col min="7" max="8" width="20.7109375" style="69" customWidth="1"/>
    <col min="9" max="9" width="30.7109375" style="69" customWidth="1"/>
    <col min="10" max="16384" width="9.140625" style="69"/>
  </cols>
  <sheetData>
    <row r="1" spans="1:9" ht="28.5" customHeight="1" thickTop="1" thickBot="1" x14ac:dyDescent="0.25">
      <c r="A1" s="64" t="s">
        <v>1119</v>
      </c>
      <c r="B1" s="65" t="s">
        <v>1120</v>
      </c>
      <c r="C1" s="65" t="s">
        <v>1121</v>
      </c>
      <c r="D1" s="66" t="s">
        <v>1122</v>
      </c>
      <c r="E1" s="65" t="s">
        <v>1123</v>
      </c>
      <c r="F1" s="65" t="s">
        <v>1124</v>
      </c>
      <c r="G1" s="67" t="s">
        <v>1125</v>
      </c>
      <c r="H1" s="67" t="s">
        <v>1126</v>
      </c>
      <c r="I1" s="68"/>
    </row>
    <row r="2" spans="1:9" ht="15" customHeight="1" x14ac:dyDescent="0.2">
      <c r="A2" s="70"/>
      <c r="B2" s="71"/>
      <c r="C2" s="71"/>
      <c r="D2" s="72"/>
      <c r="E2" s="71"/>
      <c r="F2" s="73"/>
      <c r="G2" s="74"/>
      <c r="H2" s="74"/>
      <c r="I2" s="75"/>
    </row>
    <row r="3" spans="1:9" ht="15" customHeight="1" x14ac:dyDescent="0.2">
      <c r="A3" s="76"/>
      <c r="B3" s="77"/>
      <c r="C3" s="77"/>
      <c r="D3" s="78"/>
      <c r="E3" s="77"/>
      <c r="F3" s="79"/>
      <c r="G3" s="80"/>
      <c r="H3" s="80"/>
      <c r="I3" s="75"/>
    </row>
    <row r="4" spans="1:9" ht="15" customHeight="1" x14ac:dyDescent="0.2">
      <c r="A4" s="76" t="s">
        <v>18</v>
      </c>
      <c r="B4" s="77"/>
      <c r="C4" s="77"/>
      <c r="D4" s="78"/>
      <c r="E4" s="77"/>
      <c r="F4" s="79"/>
      <c r="G4" s="80"/>
      <c r="H4" s="80"/>
    </row>
    <row r="5" spans="1:9" ht="15" customHeight="1" x14ac:dyDescent="0.2">
      <c r="A5" s="81" t="s">
        <v>19</v>
      </c>
      <c r="B5" s="77"/>
      <c r="C5" s="77"/>
      <c r="D5" s="78"/>
      <c r="E5" s="77"/>
      <c r="F5" s="79"/>
      <c r="G5" s="80"/>
      <c r="H5" s="80"/>
    </row>
    <row r="6" spans="1:9" ht="15" customHeight="1" x14ac:dyDescent="0.2">
      <c r="A6" s="82"/>
      <c r="B6" s="83"/>
      <c r="C6" s="83"/>
      <c r="D6" s="84"/>
      <c r="E6" s="83"/>
      <c r="F6" s="85"/>
      <c r="G6" s="86"/>
      <c r="H6" s="86"/>
    </row>
    <row r="7" spans="1:9" ht="15" customHeight="1" thickBot="1" x14ac:dyDescent="0.25">
      <c r="A7" s="87" t="s">
        <v>20</v>
      </c>
      <c r="B7" s="88"/>
      <c r="C7" s="88"/>
      <c r="D7" s="89"/>
      <c r="E7" s="88"/>
      <c r="F7" s="90"/>
      <c r="G7" s="91"/>
      <c r="H7" s="91"/>
    </row>
    <row r="8" spans="1:9" ht="15" customHeight="1" thickTop="1" x14ac:dyDescent="0.2">
      <c r="A8" s="82"/>
      <c r="B8" s="77"/>
      <c r="C8" s="77"/>
      <c r="D8" s="78"/>
      <c r="E8" s="77"/>
      <c r="F8" s="79"/>
      <c r="G8" s="80"/>
      <c r="H8" s="80"/>
    </row>
    <row r="9" spans="1:9" ht="15" customHeight="1" x14ac:dyDescent="0.2">
      <c r="A9" s="82"/>
      <c r="B9" s="77"/>
      <c r="C9" s="77"/>
      <c r="D9" s="78"/>
      <c r="E9" s="77"/>
      <c r="F9" s="79"/>
      <c r="G9" s="80"/>
      <c r="H9" s="80"/>
    </row>
    <row r="10" spans="1:9" ht="15" customHeight="1" x14ac:dyDescent="0.2">
      <c r="A10" s="92" t="s">
        <v>18</v>
      </c>
      <c r="B10" s="77"/>
      <c r="C10" s="77"/>
      <c r="D10" s="78"/>
      <c r="E10" s="77"/>
      <c r="F10" s="79"/>
      <c r="G10" s="80"/>
      <c r="H10" s="80"/>
    </row>
    <row r="11" spans="1:9" ht="15" customHeight="1" x14ac:dyDescent="0.2">
      <c r="A11" s="93" t="s">
        <v>30</v>
      </c>
      <c r="B11" s="77"/>
      <c r="C11" s="77"/>
      <c r="D11" s="78"/>
      <c r="E11" s="77"/>
      <c r="F11" s="79"/>
      <c r="G11" s="80"/>
      <c r="H11" s="80"/>
    </row>
    <row r="12" spans="1:9" ht="15" customHeight="1" x14ac:dyDescent="0.2">
      <c r="A12" s="82"/>
      <c r="B12" s="77"/>
      <c r="C12" s="77"/>
      <c r="D12" s="78"/>
      <c r="E12" s="77"/>
      <c r="F12" s="79"/>
      <c r="G12" s="80"/>
      <c r="H12" s="80"/>
    </row>
    <row r="13" spans="1:9" ht="15" customHeight="1" x14ac:dyDescent="0.2">
      <c r="A13" s="82"/>
      <c r="B13" s="83"/>
      <c r="C13" s="83"/>
      <c r="D13" s="84"/>
      <c r="E13" s="83"/>
      <c r="F13" s="85"/>
      <c r="G13" s="86"/>
      <c r="H13" s="86"/>
    </row>
    <row r="14" spans="1:9" ht="15" customHeight="1" thickBot="1" x14ac:dyDescent="0.25">
      <c r="A14" s="87" t="s">
        <v>20</v>
      </c>
      <c r="B14" s="88"/>
      <c r="C14" s="88"/>
      <c r="D14" s="89"/>
      <c r="E14" s="88"/>
      <c r="F14" s="90"/>
      <c r="G14" s="91"/>
      <c r="H14" s="91"/>
    </row>
    <row r="15" spans="1:9" ht="15" customHeight="1" thickTop="1" x14ac:dyDescent="0.2">
      <c r="A15" s="82"/>
      <c r="B15" s="77"/>
      <c r="C15" s="77"/>
      <c r="D15" s="78"/>
      <c r="E15" s="77"/>
      <c r="F15" s="79"/>
      <c r="G15" s="80"/>
      <c r="H15" s="80"/>
    </row>
    <row r="16" spans="1:9" ht="15" customHeight="1" x14ac:dyDescent="0.2">
      <c r="A16" s="82"/>
      <c r="B16" s="77"/>
      <c r="C16" s="77"/>
      <c r="D16" s="78"/>
      <c r="E16" s="77"/>
      <c r="F16" s="79"/>
      <c r="G16" s="80"/>
      <c r="H16" s="80"/>
    </row>
    <row r="17" spans="1:8" ht="15" customHeight="1" x14ac:dyDescent="0.2">
      <c r="A17" s="92" t="s">
        <v>41</v>
      </c>
      <c r="B17" s="77"/>
      <c r="C17" s="77"/>
      <c r="D17" s="78"/>
      <c r="E17" s="77"/>
      <c r="F17" s="79"/>
      <c r="G17" s="80"/>
      <c r="H17" s="80"/>
    </row>
    <row r="18" spans="1:8" ht="15" customHeight="1" x14ac:dyDescent="0.2">
      <c r="A18" s="93" t="s">
        <v>43</v>
      </c>
      <c r="B18" s="77"/>
      <c r="C18" s="77"/>
      <c r="D18" s="78"/>
      <c r="E18" s="77"/>
      <c r="F18" s="79"/>
      <c r="G18" s="80"/>
      <c r="H18" s="80"/>
    </row>
    <row r="19" spans="1:8" x14ac:dyDescent="0.2">
      <c r="A19" s="82"/>
      <c r="B19" s="83"/>
      <c r="C19" s="83"/>
      <c r="D19" s="84"/>
      <c r="E19" s="83"/>
      <c r="F19" s="85"/>
      <c r="G19" s="86"/>
      <c r="H19" s="86"/>
    </row>
    <row r="20" spans="1:8" ht="13.5" thickBot="1" x14ac:dyDescent="0.25">
      <c r="A20" s="87" t="s">
        <v>20</v>
      </c>
      <c r="B20" s="88"/>
      <c r="C20" s="88"/>
      <c r="D20" s="89"/>
      <c r="E20" s="88"/>
      <c r="F20" s="90"/>
      <c r="G20" s="91"/>
      <c r="H20" s="91"/>
    </row>
    <row r="21" spans="1:8" ht="13.5" thickTop="1" x14ac:dyDescent="0.2">
      <c r="A21" s="82"/>
      <c r="B21" s="77"/>
      <c r="C21" s="77"/>
      <c r="D21" s="78"/>
      <c r="E21" s="77"/>
      <c r="F21" s="79"/>
      <c r="G21" s="80"/>
      <c r="H21" s="80"/>
    </row>
    <row r="22" spans="1:8" x14ac:dyDescent="0.2">
      <c r="A22" s="82"/>
      <c r="B22" s="77"/>
      <c r="C22" s="77"/>
      <c r="D22" s="78"/>
      <c r="E22" s="77"/>
      <c r="F22" s="79"/>
      <c r="G22" s="80"/>
      <c r="H22" s="80"/>
    </row>
    <row r="23" spans="1:8" x14ac:dyDescent="0.2">
      <c r="A23" s="92" t="s">
        <v>41</v>
      </c>
      <c r="B23" s="77"/>
      <c r="C23" s="77"/>
      <c r="D23" s="78"/>
      <c r="E23" s="77"/>
      <c r="F23" s="79"/>
      <c r="G23" s="80"/>
      <c r="H23" s="80"/>
    </row>
    <row r="24" spans="1:8" x14ac:dyDescent="0.2">
      <c r="A24" s="93" t="s">
        <v>50</v>
      </c>
      <c r="B24" s="77"/>
      <c r="C24" s="77"/>
      <c r="D24" s="78"/>
      <c r="E24" s="77"/>
      <c r="F24" s="79"/>
      <c r="G24" s="80"/>
      <c r="H24" s="80"/>
    </row>
    <row r="25" spans="1:8" x14ac:dyDescent="0.2">
      <c r="A25" s="82"/>
      <c r="B25" s="77"/>
      <c r="C25" s="77"/>
      <c r="D25" s="78"/>
      <c r="E25" s="77"/>
      <c r="F25" s="79"/>
      <c r="G25" s="80"/>
      <c r="H25" s="80"/>
    </row>
    <row r="26" spans="1:8" x14ac:dyDescent="0.2">
      <c r="A26" s="82"/>
      <c r="B26" s="83"/>
      <c r="C26" s="83"/>
      <c r="D26" s="84"/>
      <c r="E26" s="83"/>
      <c r="F26" s="85"/>
      <c r="G26" s="86"/>
      <c r="H26" s="86"/>
    </row>
    <row r="27" spans="1:8" ht="13.5" thickBot="1" x14ac:dyDescent="0.25">
      <c r="A27" s="87" t="s">
        <v>20</v>
      </c>
      <c r="B27" s="88"/>
      <c r="C27" s="88"/>
      <c r="D27" s="89"/>
      <c r="E27" s="88"/>
      <c r="F27" s="90"/>
      <c r="G27" s="91"/>
      <c r="H27" s="91"/>
    </row>
    <row r="28" spans="1:8" ht="13.5" thickTop="1" x14ac:dyDescent="0.2">
      <c r="A28" s="76"/>
      <c r="B28" s="77"/>
      <c r="C28" s="77"/>
      <c r="D28" s="78"/>
      <c r="E28" s="77"/>
      <c r="F28" s="79"/>
      <c r="G28" s="80"/>
      <c r="H28" s="80"/>
    </row>
    <row r="29" spans="1:8" x14ac:dyDescent="0.2">
      <c r="A29" s="82"/>
      <c r="B29" s="77"/>
      <c r="C29" s="77"/>
      <c r="D29" s="78"/>
      <c r="E29" s="77"/>
      <c r="F29" s="79"/>
      <c r="G29" s="80"/>
      <c r="H29" s="80"/>
    </row>
    <row r="30" spans="1:8" x14ac:dyDescent="0.2">
      <c r="A30" s="92" t="s">
        <v>59</v>
      </c>
      <c r="B30" s="77"/>
      <c r="C30" s="77"/>
      <c r="D30" s="78"/>
      <c r="E30" s="77"/>
      <c r="F30" s="79"/>
      <c r="G30" s="80"/>
      <c r="H30" s="80"/>
    </row>
    <row r="31" spans="1:8" x14ac:dyDescent="0.2">
      <c r="A31" s="93" t="s">
        <v>60</v>
      </c>
      <c r="B31" s="77"/>
      <c r="C31" s="77"/>
      <c r="D31" s="78"/>
      <c r="E31" s="77"/>
      <c r="F31" s="79"/>
      <c r="G31" s="80"/>
      <c r="H31" s="80"/>
    </row>
    <row r="32" spans="1:8" x14ac:dyDescent="0.2">
      <c r="A32" s="92"/>
      <c r="B32" s="77"/>
      <c r="C32" s="77"/>
      <c r="D32" s="78"/>
      <c r="E32" s="77"/>
      <c r="F32" s="79"/>
      <c r="G32" s="80"/>
      <c r="H32" s="80"/>
    </row>
    <row r="33" spans="1:8" x14ac:dyDescent="0.2">
      <c r="A33" s="92"/>
      <c r="B33" s="94"/>
      <c r="C33" s="94"/>
      <c r="D33" s="95"/>
      <c r="E33" s="94"/>
      <c r="F33" s="96"/>
      <c r="G33" s="97"/>
      <c r="H33" s="97"/>
    </row>
    <row r="34" spans="1:8" ht="13.5" thickBot="1" x14ac:dyDescent="0.25">
      <c r="A34" s="87" t="s">
        <v>20</v>
      </c>
      <c r="B34" s="88"/>
      <c r="C34" s="88"/>
      <c r="D34" s="89"/>
      <c r="E34" s="88"/>
      <c r="F34" s="90"/>
      <c r="G34" s="91"/>
      <c r="H34" s="91"/>
    </row>
    <row r="35" spans="1:8" ht="13.5" thickTop="1" x14ac:dyDescent="0.2">
      <c r="A35" s="76"/>
      <c r="B35" s="77"/>
      <c r="C35" s="77"/>
      <c r="D35" s="78"/>
      <c r="E35" s="77"/>
      <c r="F35" s="79"/>
      <c r="G35" s="80"/>
      <c r="H35" s="80"/>
    </row>
    <row r="36" spans="1:8" x14ac:dyDescent="0.2">
      <c r="A36" s="98"/>
      <c r="B36" s="99"/>
      <c r="C36" s="77"/>
      <c r="D36" s="78"/>
      <c r="E36" s="77"/>
      <c r="F36" s="79"/>
      <c r="G36" s="80"/>
      <c r="H36" s="80"/>
    </row>
    <row r="37" spans="1:8" x14ac:dyDescent="0.2">
      <c r="A37" s="92" t="s">
        <v>279</v>
      </c>
      <c r="B37" s="77"/>
      <c r="C37" s="77"/>
      <c r="D37" s="78"/>
      <c r="E37" s="77"/>
      <c r="F37" s="79"/>
      <c r="G37" s="80"/>
      <c r="H37" s="80"/>
    </row>
    <row r="38" spans="1:8" x14ac:dyDescent="0.2">
      <c r="A38" s="93" t="s">
        <v>67</v>
      </c>
      <c r="B38" s="77"/>
      <c r="C38" s="77"/>
      <c r="D38" s="78"/>
      <c r="E38" s="77"/>
      <c r="F38" s="79"/>
      <c r="G38" s="80"/>
      <c r="H38" s="80"/>
    </row>
    <row r="39" spans="1:8" x14ac:dyDescent="0.2">
      <c r="A39" s="92"/>
      <c r="B39" s="83"/>
      <c r="C39" s="83"/>
      <c r="D39" s="84"/>
      <c r="E39" s="83"/>
      <c r="F39" s="85"/>
      <c r="G39" s="86"/>
      <c r="H39" s="86"/>
    </row>
    <row r="40" spans="1:8" ht="13.5" thickBot="1" x14ac:dyDescent="0.25">
      <c r="A40" s="87" t="s">
        <v>20</v>
      </c>
      <c r="B40" s="88"/>
      <c r="C40" s="88"/>
      <c r="D40" s="89"/>
      <c r="E40" s="88"/>
      <c r="F40" s="90"/>
      <c r="G40" s="91"/>
      <c r="H40" s="91"/>
    </row>
    <row r="41" spans="1:8" ht="13.5" thickTop="1" x14ac:dyDescent="0.2">
      <c r="A41" s="76"/>
      <c r="B41" s="100"/>
      <c r="C41" s="100"/>
      <c r="D41" s="101"/>
      <c r="E41" s="100"/>
      <c r="F41" s="102"/>
      <c r="G41" s="103"/>
      <c r="H41" s="103"/>
    </row>
    <row r="42" spans="1:8" x14ac:dyDescent="0.2">
      <c r="A42" s="92" t="s">
        <v>71</v>
      </c>
      <c r="B42" s="100"/>
      <c r="C42" s="100"/>
      <c r="D42" s="101"/>
      <c r="E42" s="100"/>
      <c r="F42" s="102"/>
      <c r="G42" s="103"/>
      <c r="H42" s="103"/>
    </row>
    <row r="43" spans="1:8" x14ac:dyDescent="0.2">
      <c r="A43" s="93" t="s">
        <v>72</v>
      </c>
      <c r="B43" s="104"/>
      <c r="C43" s="104"/>
      <c r="D43" s="105"/>
      <c r="E43" s="104"/>
      <c r="F43" s="106"/>
      <c r="G43" s="107"/>
      <c r="H43" s="107"/>
    </row>
    <row r="44" spans="1:8" ht="13.5" thickBot="1" x14ac:dyDescent="0.25">
      <c r="A44" s="87" t="s">
        <v>20</v>
      </c>
      <c r="B44" s="108"/>
      <c r="C44" s="108"/>
      <c r="D44" s="109"/>
      <c r="E44" s="108"/>
      <c r="F44" s="110"/>
      <c r="G44" s="111"/>
      <c r="H44" s="111"/>
    </row>
    <row r="45" spans="1:8" ht="13.5" thickTop="1" x14ac:dyDescent="0.2">
      <c r="A45" s="112" t="s">
        <v>280</v>
      </c>
      <c r="B45" s="113"/>
      <c r="C45" s="113"/>
      <c r="D45" s="113"/>
      <c r="E45" s="113"/>
      <c r="F45" s="113"/>
      <c r="G45" s="113"/>
      <c r="H45" s="113"/>
    </row>
    <row r="46" spans="1:8" x14ac:dyDescent="0.2">
      <c r="A46" s="114" t="s">
        <v>282</v>
      </c>
      <c r="B46" s="113"/>
      <c r="C46" s="113"/>
      <c r="D46" s="113"/>
      <c r="E46" s="113"/>
      <c r="F46" s="113"/>
      <c r="G46" s="113"/>
      <c r="H46" s="113"/>
    </row>
    <row r="47" spans="1:8" x14ac:dyDescent="0.2">
      <c r="A47" s="115"/>
      <c r="B47" s="113"/>
      <c r="C47" s="113"/>
      <c r="D47" s="113"/>
      <c r="E47" s="113"/>
      <c r="F47" s="113"/>
      <c r="G47" s="113"/>
      <c r="H47" s="113"/>
    </row>
    <row r="48" spans="1:8" x14ac:dyDescent="0.2">
      <c r="A48" s="115"/>
      <c r="B48" s="113"/>
      <c r="C48" s="113"/>
      <c r="D48" s="113"/>
      <c r="E48" s="113"/>
      <c r="F48" s="113"/>
      <c r="G48" s="113"/>
      <c r="H48" s="113"/>
    </row>
    <row r="49" spans="1:8" x14ac:dyDescent="0.2">
      <c r="A49" s="115"/>
      <c r="B49" s="113"/>
      <c r="C49" s="113"/>
      <c r="D49" s="113"/>
      <c r="E49" s="113"/>
      <c r="F49" s="113"/>
      <c r="G49" s="113"/>
      <c r="H49" s="113"/>
    </row>
    <row r="50" spans="1:8" x14ac:dyDescent="0.2">
      <c r="A50" s="115"/>
      <c r="B50" s="116"/>
      <c r="C50" s="116"/>
      <c r="D50" s="116"/>
      <c r="E50" s="116"/>
      <c r="F50" s="116"/>
      <c r="G50" s="116"/>
      <c r="H50" s="116"/>
    </row>
    <row r="51" spans="1:8" x14ac:dyDescent="0.2">
      <c r="A51" s="117"/>
      <c r="B51" s="116"/>
      <c r="C51" s="116"/>
      <c r="D51" s="116"/>
      <c r="E51" s="116"/>
      <c r="F51" s="116"/>
      <c r="G51" s="116"/>
      <c r="H51" s="116"/>
    </row>
    <row r="52" spans="1:8" x14ac:dyDescent="0.2">
      <c r="A52" s="117"/>
      <c r="B52" s="116"/>
      <c r="C52" s="116"/>
      <c r="D52" s="116"/>
      <c r="E52" s="116"/>
      <c r="F52" s="116"/>
      <c r="G52" s="116"/>
      <c r="H52" s="116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5"/>
      <c r="B59" s="118"/>
      <c r="C59" s="118"/>
      <c r="D59" s="118"/>
      <c r="E59" s="118"/>
      <c r="F59" s="118"/>
      <c r="G59" s="118"/>
      <c r="H59" s="118"/>
    </row>
    <row r="60" spans="1:8" x14ac:dyDescent="0.2">
      <c r="A60" s="117"/>
      <c r="B60" s="118"/>
      <c r="C60" s="118"/>
      <c r="D60" s="118"/>
      <c r="E60" s="118"/>
      <c r="F60" s="118"/>
      <c r="G60" s="118"/>
      <c r="H60" s="118"/>
    </row>
    <row r="61" spans="1:8" x14ac:dyDescent="0.2">
      <c r="A61" s="117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"/>
      <headerFooter alignWithMargins="0">
        <oddHeader>&amp;C2019.10.21-27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2"/>
      <headerFooter alignWithMargins="0">
        <oddHeader>&amp;C2019.10.21-27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3"/>
      <headerFooter alignWithMargins="0">
        <oddHeader>&amp;C2019.10.21-27</oddHeader>
      </headerFooter>
    </customSheetView>
    <customSheetView guid="{4B58F0A9-071E-4376-B7AD-463366669E19}" scale="80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4"/>
      <headerFooter alignWithMargins="0">
        <oddHeader>&amp;C2019.10.21-27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&amp;C2019.10.21-27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6"/>
      <headerFooter alignWithMargins="0">
        <oddHeader>&amp;C2019.10.21-27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7"/>
      <headerFooter alignWithMargins="0">
        <oddHeader>&amp;C2019.10.21-27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8"/>
      <headerFooter alignWithMargins="0">
        <oddHeader>&amp;C2019.10.21-27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9"/>
      <headerFooter alignWithMargins="0">
        <oddHeader>&amp;C2019.10.21-27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0"/>
      <headerFooter alignWithMargins="0">
        <oddHeader>&amp;C2019.10.21-27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1"/>
      <headerFooter alignWithMargins="0">
        <oddHeader>&amp;C2019.10.21-27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2"/>
      <headerFooter alignWithMargins="0">
        <oddHeader>&amp;C2019.10.21-27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8" scale="95" orientation="landscape" r:id="rId13"/>
  <headerFooter alignWithMargins="0">
    <oddHeader>&amp;C2019.10.21-27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Munka32"/>
  <dimension ref="A1:I140"/>
  <sheetViews>
    <sheetView zoomScale="80" zoomScaleNormal="80" zoomScaleSheetLayoutView="40" workbookViewId="0">
      <pane ySplit="1" topLeftCell="A2" activePane="bottomLeft" state="frozen"/>
      <selection pane="bottomLeft" activeCell="E25" sqref="E25"/>
    </sheetView>
  </sheetViews>
  <sheetFormatPr defaultColWidth="9.140625" defaultRowHeight="12.75" x14ac:dyDescent="0.2"/>
  <cols>
    <col min="1" max="1" width="10.7109375" style="119" customWidth="1"/>
    <col min="2" max="6" width="30.7109375" style="69" customWidth="1"/>
    <col min="7" max="8" width="20.7109375" style="69" customWidth="1"/>
    <col min="9" max="9" width="30.7109375" style="69" customWidth="1"/>
    <col min="10" max="16384" width="9.140625" style="69"/>
  </cols>
  <sheetData>
    <row r="1" spans="1:9" ht="28.5" customHeight="1" thickTop="1" thickBot="1" x14ac:dyDescent="0.25">
      <c r="A1" s="64" t="s">
        <v>1127</v>
      </c>
      <c r="B1" s="65" t="s">
        <v>1128</v>
      </c>
      <c r="C1" s="65" t="s">
        <v>1129</v>
      </c>
      <c r="D1" s="65" t="s">
        <v>1130</v>
      </c>
      <c r="E1" s="65" t="s">
        <v>1131</v>
      </c>
      <c r="F1" s="66" t="s">
        <v>1132</v>
      </c>
      <c r="G1" s="67" t="s">
        <v>1133</v>
      </c>
      <c r="H1" s="67" t="s">
        <v>1134</v>
      </c>
      <c r="I1" s="68"/>
    </row>
    <row r="2" spans="1:9" ht="15" customHeight="1" x14ac:dyDescent="0.2">
      <c r="A2" s="70"/>
      <c r="B2" s="71"/>
      <c r="C2" s="71"/>
      <c r="D2" s="71"/>
      <c r="E2" s="71"/>
      <c r="F2" s="72"/>
      <c r="G2" s="74"/>
      <c r="H2" s="74"/>
      <c r="I2" s="75"/>
    </row>
    <row r="3" spans="1:9" ht="15" customHeight="1" x14ac:dyDescent="0.2">
      <c r="A3" s="76"/>
      <c r="B3" s="77"/>
      <c r="C3" s="77"/>
      <c r="D3" s="77"/>
      <c r="E3" s="77"/>
      <c r="F3" s="78"/>
      <c r="G3" s="80"/>
      <c r="H3" s="80"/>
      <c r="I3" s="75"/>
    </row>
    <row r="4" spans="1:9" ht="15" customHeight="1" x14ac:dyDescent="0.2">
      <c r="A4" s="76" t="s">
        <v>18</v>
      </c>
      <c r="B4" s="77"/>
      <c r="C4" s="77"/>
      <c r="D4" s="77"/>
      <c r="E4" s="77"/>
      <c r="F4" s="78"/>
      <c r="G4" s="80"/>
      <c r="H4" s="80"/>
    </row>
    <row r="5" spans="1:9" ht="15" customHeight="1" x14ac:dyDescent="0.2">
      <c r="A5" s="81" t="s">
        <v>19</v>
      </c>
      <c r="B5" s="77"/>
      <c r="C5" s="77"/>
      <c r="D5" s="77"/>
      <c r="E5" s="77"/>
      <c r="F5" s="78"/>
      <c r="G5" s="80"/>
      <c r="H5" s="80"/>
    </row>
    <row r="6" spans="1:9" ht="15" customHeight="1" x14ac:dyDescent="0.2">
      <c r="A6" s="82"/>
      <c r="B6" s="83"/>
      <c r="C6" s="83"/>
      <c r="D6" s="83"/>
      <c r="E6" s="83"/>
      <c r="F6" s="84"/>
      <c r="G6" s="86"/>
      <c r="H6" s="86"/>
    </row>
    <row r="7" spans="1:9" ht="15" customHeight="1" thickBot="1" x14ac:dyDescent="0.25">
      <c r="A7" s="87" t="s">
        <v>20</v>
      </c>
      <c r="B7" s="88"/>
      <c r="C7" s="88"/>
      <c r="D7" s="88"/>
      <c r="E7" s="88"/>
      <c r="F7" s="89"/>
      <c r="G7" s="91"/>
      <c r="H7" s="91"/>
    </row>
    <row r="8" spans="1:9" ht="15" customHeight="1" thickTop="1" x14ac:dyDescent="0.2">
      <c r="A8" s="82"/>
      <c r="B8" s="77"/>
      <c r="C8" s="77"/>
      <c r="D8" s="77"/>
      <c r="E8" s="77"/>
      <c r="F8" s="78"/>
      <c r="G8" s="80"/>
      <c r="H8" s="80"/>
    </row>
    <row r="9" spans="1:9" ht="15" customHeight="1" x14ac:dyDescent="0.2">
      <c r="A9" s="82"/>
      <c r="B9" s="77"/>
      <c r="C9" s="77"/>
      <c r="D9" s="77"/>
      <c r="E9" s="77"/>
      <c r="F9" s="78"/>
      <c r="G9" s="80"/>
      <c r="H9" s="80"/>
    </row>
    <row r="10" spans="1:9" ht="15" customHeight="1" x14ac:dyDescent="0.2">
      <c r="A10" s="92" t="s">
        <v>18</v>
      </c>
      <c r="B10" s="77"/>
      <c r="C10" s="77"/>
      <c r="D10" s="77"/>
      <c r="E10" s="77"/>
      <c r="F10" s="78"/>
      <c r="G10" s="80"/>
      <c r="H10" s="80"/>
    </row>
    <row r="11" spans="1:9" ht="15" customHeight="1" x14ac:dyDescent="0.2">
      <c r="A11" s="93" t="s">
        <v>30</v>
      </c>
      <c r="B11" s="77"/>
      <c r="C11" s="77"/>
      <c r="D11" s="77"/>
      <c r="E11" s="77"/>
      <c r="F11" s="78"/>
      <c r="G11" s="80"/>
      <c r="H11" s="80"/>
    </row>
    <row r="12" spans="1:9" ht="15" customHeight="1" x14ac:dyDescent="0.2">
      <c r="A12" s="82"/>
      <c r="B12" s="77"/>
      <c r="C12" s="77"/>
      <c r="D12" s="77"/>
      <c r="E12" s="77"/>
      <c r="F12" s="78"/>
      <c r="G12" s="80"/>
      <c r="H12" s="80"/>
    </row>
    <row r="13" spans="1:9" ht="15" customHeight="1" x14ac:dyDescent="0.2">
      <c r="A13" s="82"/>
      <c r="B13" s="83"/>
      <c r="C13" s="83"/>
      <c r="D13" s="83"/>
      <c r="E13" s="83"/>
      <c r="F13" s="84"/>
      <c r="G13" s="86"/>
      <c r="H13" s="86"/>
    </row>
    <row r="14" spans="1:9" ht="15" customHeight="1" thickBot="1" x14ac:dyDescent="0.25">
      <c r="A14" s="87" t="s">
        <v>20</v>
      </c>
      <c r="B14" s="88"/>
      <c r="C14" s="88"/>
      <c r="D14" s="88"/>
      <c r="E14" s="88"/>
      <c r="F14" s="89"/>
      <c r="G14" s="91"/>
      <c r="H14" s="91"/>
    </row>
    <row r="15" spans="1:9" ht="15" customHeight="1" thickTop="1" x14ac:dyDescent="0.2">
      <c r="A15" s="82"/>
      <c r="B15" s="77"/>
      <c r="C15" s="77"/>
      <c r="D15" s="77"/>
      <c r="E15" s="77"/>
      <c r="F15" s="78"/>
      <c r="G15" s="80"/>
      <c r="H15" s="80"/>
    </row>
    <row r="16" spans="1:9" ht="15" customHeight="1" x14ac:dyDescent="0.2">
      <c r="A16" s="82"/>
      <c r="B16" s="77"/>
      <c r="C16" s="77"/>
      <c r="D16" s="77"/>
      <c r="E16" s="77"/>
      <c r="F16" s="78"/>
      <c r="G16" s="80"/>
      <c r="H16" s="80"/>
    </row>
    <row r="17" spans="1:8" ht="15" customHeight="1" x14ac:dyDescent="0.2">
      <c r="A17" s="92" t="s">
        <v>41</v>
      </c>
      <c r="B17" s="77"/>
      <c r="C17" s="77"/>
      <c r="D17" s="77"/>
      <c r="E17" s="77"/>
      <c r="F17" s="78"/>
      <c r="G17" s="80"/>
      <c r="H17" s="80"/>
    </row>
    <row r="18" spans="1:8" ht="15" customHeight="1" x14ac:dyDescent="0.2">
      <c r="A18" s="93" t="s">
        <v>43</v>
      </c>
      <c r="B18" s="77"/>
      <c r="C18" s="77"/>
      <c r="D18" s="77"/>
      <c r="E18" s="77"/>
      <c r="F18" s="78"/>
      <c r="G18" s="80"/>
      <c r="H18" s="80"/>
    </row>
    <row r="19" spans="1:8" x14ac:dyDescent="0.2">
      <c r="A19" s="82"/>
      <c r="B19" s="83"/>
      <c r="C19" s="83"/>
      <c r="D19" s="83"/>
      <c r="E19" s="83"/>
      <c r="F19" s="84"/>
      <c r="G19" s="86"/>
      <c r="H19" s="86"/>
    </row>
    <row r="20" spans="1:8" ht="13.5" thickBot="1" x14ac:dyDescent="0.25">
      <c r="A20" s="87" t="s">
        <v>20</v>
      </c>
      <c r="B20" s="88"/>
      <c r="C20" s="88"/>
      <c r="D20" s="88"/>
      <c r="E20" s="88"/>
      <c r="F20" s="89"/>
      <c r="G20" s="91"/>
      <c r="H20" s="91"/>
    </row>
    <row r="21" spans="1:8" ht="13.5" thickTop="1" x14ac:dyDescent="0.2">
      <c r="A21" s="82"/>
      <c r="B21" s="77"/>
      <c r="C21" s="77"/>
      <c r="D21" s="77"/>
      <c r="E21" s="77"/>
      <c r="F21" s="78"/>
      <c r="G21" s="80"/>
      <c r="H21" s="80"/>
    </row>
    <row r="22" spans="1:8" x14ac:dyDescent="0.2">
      <c r="A22" s="82"/>
      <c r="B22" s="77"/>
      <c r="C22" s="77"/>
      <c r="D22" s="77"/>
      <c r="E22" s="77"/>
      <c r="F22" s="78"/>
      <c r="G22" s="80"/>
      <c r="H22" s="80"/>
    </row>
    <row r="23" spans="1:8" x14ac:dyDescent="0.2">
      <c r="A23" s="92" t="s">
        <v>41</v>
      </c>
      <c r="B23" s="77"/>
      <c r="C23" s="77"/>
      <c r="D23" s="77"/>
      <c r="E23" s="77"/>
      <c r="F23" s="78"/>
      <c r="G23" s="80"/>
      <c r="H23" s="80"/>
    </row>
    <row r="24" spans="1:8" x14ac:dyDescent="0.2">
      <c r="A24" s="93" t="s">
        <v>50</v>
      </c>
      <c r="B24" s="77"/>
      <c r="C24" s="77"/>
      <c r="D24" s="77"/>
      <c r="E24" s="77"/>
      <c r="F24" s="78"/>
      <c r="G24" s="80"/>
      <c r="H24" s="80"/>
    </row>
    <row r="25" spans="1:8" x14ac:dyDescent="0.2">
      <c r="A25" s="82"/>
      <c r="B25" s="77"/>
      <c r="C25" s="77"/>
      <c r="D25" s="77"/>
      <c r="E25" s="77"/>
      <c r="F25" s="78"/>
      <c r="G25" s="80"/>
      <c r="H25" s="80"/>
    </row>
    <row r="26" spans="1:8" x14ac:dyDescent="0.2">
      <c r="A26" s="82"/>
      <c r="B26" s="83"/>
      <c r="C26" s="83"/>
      <c r="D26" s="83"/>
      <c r="E26" s="83"/>
      <c r="F26" s="84"/>
      <c r="G26" s="86"/>
      <c r="H26" s="86"/>
    </row>
    <row r="27" spans="1:8" ht="13.5" thickBot="1" x14ac:dyDescent="0.25">
      <c r="A27" s="87" t="s">
        <v>20</v>
      </c>
      <c r="B27" s="88"/>
      <c r="C27" s="88"/>
      <c r="D27" s="88"/>
      <c r="E27" s="88"/>
      <c r="F27" s="89"/>
      <c r="G27" s="91"/>
      <c r="H27" s="91"/>
    </row>
    <row r="28" spans="1:8" ht="13.5" thickTop="1" x14ac:dyDescent="0.2">
      <c r="A28" s="76"/>
      <c r="B28" s="77"/>
      <c r="C28" s="77"/>
      <c r="D28" s="77"/>
      <c r="E28" s="77"/>
      <c r="F28" s="78"/>
      <c r="G28" s="80"/>
      <c r="H28" s="80"/>
    </row>
    <row r="29" spans="1:8" x14ac:dyDescent="0.2">
      <c r="A29" s="82"/>
      <c r="B29" s="77"/>
      <c r="C29" s="77"/>
      <c r="D29" s="77"/>
      <c r="E29" s="77"/>
      <c r="F29" s="78"/>
      <c r="G29" s="80"/>
      <c r="H29" s="80"/>
    </row>
    <row r="30" spans="1:8" x14ac:dyDescent="0.2">
      <c r="A30" s="92" t="s">
        <v>59</v>
      </c>
      <c r="B30" s="77"/>
      <c r="C30" s="77"/>
      <c r="D30" s="77"/>
      <c r="E30" s="77"/>
      <c r="F30" s="78"/>
      <c r="G30" s="80"/>
      <c r="H30" s="80"/>
    </row>
    <row r="31" spans="1:8" x14ac:dyDescent="0.2">
      <c r="A31" s="93" t="s">
        <v>60</v>
      </c>
      <c r="B31" s="77"/>
      <c r="C31" s="77"/>
      <c r="D31" s="77"/>
      <c r="E31" s="77"/>
      <c r="F31" s="78"/>
      <c r="G31" s="80"/>
      <c r="H31" s="80"/>
    </row>
    <row r="32" spans="1:8" x14ac:dyDescent="0.2">
      <c r="A32" s="92"/>
      <c r="B32" s="77"/>
      <c r="C32" s="77"/>
      <c r="D32" s="77"/>
      <c r="E32" s="77"/>
      <c r="F32" s="78"/>
      <c r="G32" s="80"/>
      <c r="H32" s="80"/>
    </row>
    <row r="33" spans="1:8" x14ac:dyDescent="0.2">
      <c r="A33" s="92"/>
      <c r="B33" s="94"/>
      <c r="C33" s="94"/>
      <c r="D33" s="94"/>
      <c r="E33" s="94"/>
      <c r="F33" s="95"/>
      <c r="G33" s="97"/>
      <c r="H33" s="97"/>
    </row>
    <row r="34" spans="1:8" ht="13.5" thickBot="1" x14ac:dyDescent="0.25">
      <c r="A34" s="87" t="s">
        <v>20</v>
      </c>
      <c r="B34" s="88"/>
      <c r="C34" s="88"/>
      <c r="D34" s="88"/>
      <c r="E34" s="88"/>
      <c r="F34" s="89"/>
      <c r="G34" s="91"/>
      <c r="H34" s="91"/>
    </row>
    <row r="35" spans="1:8" ht="13.5" thickTop="1" x14ac:dyDescent="0.2">
      <c r="A35" s="76"/>
      <c r="B35" s="77"/>
      <c r="C35" s="77"/>
      <c r="D35" s="77"/>
      <c r="E35" s="77"/>
      <c r="F35" s="78"/>
      <c r="G35" s="80"/>
      <c r="H35" s="80"/>
    </row>
    <row r="36" spans="1:8" x14ac:dyDescent="0.2">
      <c r="A36" s="98"/>
      <c r="B36" s="99"/>
      <c r="C36" s="77"/>
      <c r="D36" s="77"/>
      <c r="E36" s="77"/>
      <c r="F36" s="78"/>
      <c r="G36" s="80"/>
      <c r="H36" s="80"/>
    </row>
    <row r="37" spans="1:8" x14ac:dyDescent="0.2">
      <c r="A37" s="92" t="s">
        <v>279</v>
      </c>
      <c r="B37" s="77"/>
      <c r="C37" s="77"/>
      <c r="D37" s="77"/>
      <c r="E37" s="77"/>
      <c r="F37" s="78"/>
      <c r="G37" s="80"/>
      <c r="H37" s="80"/>
    </row>
    <row r="38" spans="1:8" x14ac:dyDescent="0.2">
      <c r="A38" s="93" t="s">
        <v>67</v>
      </c>
      <c r="B38" s="77"/>
      <c r="C38" s="77"/>
      <c r="D38" s="77"/>
      <c r="E38" s="77"/>
      <c r="F38" s="78"/>
      <c r="G38" s="80"/>
      <c r="H38" s="80"/>
    </row>
    <row r="39" spans="1:8" x14ac:dyDescent="0.2">
      <c r="A39" s="92"/>
      <c r="B39" s="83"/>
      <c r="C39" s="83"/>
      <c r="D39" s="83"/>
      <c r="E39" s="83"/>
      <c r="F39" s="84"/>
      <c r="G39" s="86"/>
      <c r="H39" s="86"/>
    </row>
    <row r="40" spans="1:8" ht="13.5" thickBot="1" x14ac:dyDescent="0.25">
      <c r="A40" s="87" t="s">
        <v>20</v>
      </c>
      <c r="B40" s="88"/>
      <c r="C40" s="88"/>
      <c r="D40" s="88"/>
      <c r="E40" s="88"/>
      <c r="F40" s="89"/>
      <c r="G40" s="91"/>
      <c r="H40" s="91"/>
    </row>
    <row r="41" spans="1:8" ht="13.5" thickTop="1" x14ac:dyDescent="0.2">
      <c r="A41" s="76"/>
      <c r="B41" s="100"/>
      <c r="C41" s="100"/>
      <c r="D41" s="100"/>
      <c r="E41" s="100"/>
      <c r="F41" s="101"/>
      <c r="G41" s="103"/>
      <c r="H41" s="103"/>
    </row>
    <row r="42" spans="1:8" x14ac:dyDescent="0.2">
      <c r="A42" s="92" t="s">
        <v>71</v>
      </c>
      <c r="B42" s="100"/>
      <c r="C42" s="100"/>
      <c r="D42" s="100"/>
      <c r="E42" s="100"/>
      <c r="F42" s="101"/>
      <c r="G42" s="103"/>
      <c r="H42" s="103"/>
    </row>
    <row r="43" spans="1:8" x14ac:dyDescent="0.2">
      <c r="A43" s="93" t="s">
        <v>72</v>
      </c>
      <c r="B43" s="104"/>
      <c r="C43" s="104"/>
      <c r="D43" s="104"/>
      <c r="E43" s="104"/>
      <c r="F43" s="105"/>
      <c r="G43" s="107"/>
      <c r="H43" s="107"/>
    </row>
    <row r="44" spans="1:8" ht="13.5" thickBot="1" x14ac:dyDescent="0.25">
      <c r="A44" s="87" t="s">
        <v>20</v>
      </c>
      <c r="B44" s="108"/>
      <c r="C44" s="108"/>
      <c r="D44" s="108"/>
      <c r="E44" s="108"/>
      <c r="F44" s="109"/>
      <c r="G44" s="111"/>
      <c r="H44" s="111"/>
    </row>
    <row r="45" spans="1:8" ht="13.5" thickTop="1" x14ac:dyDescent="0.2">
      <c r="A45" s="112" t="s">
        <v>280</v>
      </c>
      <c r="B45" s="113"/>
      <c r="C45" s="113"/>
      <c r="D45" s="113"/>
      <c r="E45" s="113"/>
      <c r="F45" s="113"/>
      <c r="G45" s="113"/>
      <c r="H45" s="113"/>
    </row>
    <row r="46" spans="1:8" x14ac:dyDescent="0.2">
      <c r="A46" s="114" t="s">
        <v>282</v>
      </c>
      <c r="B46" s="113"/>
      <c r="C46" s="113"/>
      <c r="D46" s="113"/>
      <c r="E46" s="113"/>
      <c r="F46" s="113"/>
      <c r="G46" s="113"/>
      <c r="H46" s="113"/>
    </row>
    <row r="47" spans="1:8" x14ac:dyDescent="0.2">
      <c r="A47" s="115"/>
      <c r="B47" s="113"/>
      <c r="C47" s="113"/>
      <c r="D47" s="113"/>
      <c r="E47" s="113"/>
      <c r="F47" s="113"/>
      <c r="G47" s="113"/>
      <c r="H47" s="113"/>
    </row>
    <row r="48" spans="1:8" x14ac:dyDescent="0.2">
      <c r="A48" s="115"/>
      <c r="B48" s="113"/>
      <c r="C48" s="113"/>
      <c r="D48" s="113"/>
      <c r="E48" s="113"/>
      <c r="F48" s="113"/>
      <c r="G48" s="113"/>
      <c r="H48" s="113"/>
    </row>
    <row r="49" spans="1:8" x14ac:dyDescent="0.2">
      <c r="A49" s="115"/>
      <c r="B49" s="113"/>
      <c r="C49" s="113"/>
      <c r="D49" s="113"/>
      <c r="E49" s="113"/>
      <c r="F49" s="113"/>
      <c r="G49" s="113"/>
      <c r="H49" s="113"/>
    </row>
    <row r="50" spans="1:8" x14ac:dyDescent="0.2">
      <c r="A50" s="115"/>
      <c r="B50" s="116"/>
      <c r="C50" s="116"/>
      <c r="D50" s="116"/>
      <c r="E50" s="116"/>
      <c r="F50" s="116"/>
      <c r="G50" s="116"/>
      <c r="H50" s="116"/>
    </row>
    <row r="51" spans="1:8" x14ac:dyDescent="0.2">
      <c r="A51" s="117"/>
      <c r="B51" s="116"/>
      <c r="C51" s="116"/>
      <c r="D51" s="116"/>
      <c r="E51" s="116"/>
      <c r="F51" s="116"/>
      <c r="G51" s="116"/>
      <c r="H51" s="116"/>
    </row>
    <row r="52" spans="1:8" x14ac:dyDescent="0.2">
      <c r="A52" s="117"/>
      <c r="B52" s="116"/>
      <c r="C52" s="116"/>
      <c r="D52" s="116"/>
      <c r="E52" s="116"/>
      <c r="F52" s="116"/>
      <c r="G52" s="116"/>
      <c r="H52" s="116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5"/>
      <c r="B59" s="118"/>
      <c r="C59" s="118"/>
      <c r="D59" s="118"/>
      <c r="E59" s="118"/>
      <c r="F59" s="118"/>
      <c r="G59" s="118"/>
      <c r="H59" s="118"/>
    </row>
    <row r="60" spans="1:8" x14ac:dyDescent="0.2">
      <c r="A60" s="117"/>
      <c r="B60" s="118"/>
      <c r="C60" s="118"/>
      <c r="D60" s="118"/>
      <c r="E60" s="118"/>
      <c r="F60" s="118"/>
      <c r="G60" s="118"/>
      <c r="H60" s="118"/>
    </row>
    <row r="61" spans="1:8" x14ac:dyDescent="0.2">
      <c r="A61" s="117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"/>
      <headerFooter alignWithMargins="0">
        <oddHeader>&amp;C2019.10.28-11.03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2"/>
      <headerFooter alignWithMargins="0">
        <oddHeader>&amp;C2019.10.28-11.03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3"/>
      <headerFooter alignWithMargins="0">
        <oddHeader>&amp;C2019.10.28-11.03</oddHeader>
      </headerFooter>
    </customSheetView>
    <customSheetView guid="{4B58F0A9-071E-4376-B7AD-463366669E19}" scale="80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4"/>
      <headerFooter alignWithMargins="0">
        <oddHeader>&amp;C2019.10.28-11.03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&amp;C2019.10.28-11.03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6"/>
      <headerFooter alignWithMargins="0">
        <oddHeader>&amp;C2019.10.28-11.03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7"/>
      <headerFooter alignWithMargins="0">
        <oddHeader>&amp;C2019.10.28-11.03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8"/>
      <headerFooter alignWithMargins="0">
        <oddHeader>&amp;C2019.10.28-11.03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9"/>
      <headerFooter alignWithMargins="0">
        <oddHeader>&amp;C2019.10.28-11.03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0"/>
      <headerFooter alignWithMargins="0">
        <oddHeader>&amp;C2019.10.28-11.03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1"/>
      <headerFooter alignWithMargins="0">
        <oddHeader>&amp;C2019.10.28-11.03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2"/>
      <headerFooter alignWithMargins="0">
        <oddHeader>&amp;C2019.10.28-11.03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8" scale="95" orientation="landscape" r:id="rId13"/>
  <headerFooter alignWithMargins="0">
    <oddHeader>&amp;C2019.10.28-11.03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Munka33"/>
  <dimension ref="A1:I140"/>
  <sheetViews>
    <sheetView zoomScale="80" zoomScaleNormal="80" zoomScaleSheetLayoutView="40" workbookViewId="0">
      <pane ySplit="1" topLeftCell="A2" activePane="bottomLeft" state="frozen"/>
      <selection pane="bottomLeft" activeCell="E25" sqref="E25"/>
    </sheetView>
  </sheetViews>
  <sheetFormatPr defaultColWidth="9.140625" defaultRowHeight="12.75" x14ac:dyDescent="0.2"/>
  <cols>
    <col min="1" max="1" width="10.7109375" style="119" customWidth="1"/>
    <col min="2" max="6" width="30.7109375" style="69" customWidth="1"/>
    <col min="7" max="8" width="20.7109375" style="69" customWidth="1"/>
    <col min="9" max="9" width="30.7109375" style="69" customWidth="1"/>
    <col min="10" max="16384" width="9.140625" style="69"/>
  </cols>
  <sheetData>
    <row r="1" spans="1:9" ht="28.5" customHeight="1" thickTop="1" thickBot="1" x14ac:dyDescent="0.25">
      <c r="A1" s="64" t="s">
        <v>1135</v>
      </c>
      <c r="B1" s="65" t="s">
        <v>1136</v>
      </c>
      <c r="C1" s="65" t="s">
        <v>1137</v>
      </c>
      <c r="D1" s="65" t="s">
        <v>1138</v>
      </c>
      <c r="E1" s="65" t="s">
        <v>1139</v>
      </c>
      <c r="F1" s="65" t="s">
        <v>1140</v>
      </c>
      <c r="G1" s="67" t="s">
        <v>1141</v>
      </c>
      <c r="H1" s="67" t="s">
        <v>1142</v>
      </c>
      <c r="I1" s="68"/>
    </row>
    <row r="2" spans="1:9" ht="15" customHeight="1" x14ac:dyDescent="0.2">
      <c r="A2" s="70"/>
      <c r="B2" s="71"/>
      <c r="C2" s="71"/>
      <c r="D2" s="71"/>
      <c r="E2" s="71"/>
      <c r="F2" s="73"/>
      <c r="G2" s="74"/>
      <c r="H2" s="74"/>
      <c r="I2" s="75"/>
    </row>
    <row r="3" spans="1:9" ht="15" customHeight="1" x14ac:dyDescent="0.2">
      <c r="A3" s="76"/>
      <c r="B3" s="77"/>
      <c r="C3" s="77"/>
      <c r="D3" s="77"/>
      <c r="E3" s="77"/>
      <c r="F3" s="79"/>
      <c r="G3" s="80"/>
      <c r="H3" s="80"/>
      <c r="I3" s="75"/>
    </row>
    <row r="4" spans="1:9" ht="15" customHeight="1" x14ac:dyDescent="0.2">
      <c r="A4" s="76" t="s">
        <v>18</v>
      </c>
      <c r="B4" s="77"/>
      <c r="C4" s="77"/>
      <c r="D4" s="77"/>
      <c r="E4" s="77"/>
      <c r="F4" s="79"/>
      <c r="G4" s="80"/>
      <c r="H4" s="80"/>
    </row>
    <row r="5" spans="1:9" ht="15" customHeight="1" x14ac:dyDescent="0.2">
      <c r="A5" s="81" t="s">
        <v>19</v>
      </c>
      <c r="B5" s="77"/>
      <c r="C5" s="77"/>
      <c r="D5" s="77"/>
      <c r="E5" s="77"/>
      <c r="F5" s="79"/>
      <c r="G5" s="80"/>
      <c r="H5" s="80"/>
    </row>
    <row r="6" spans="1:9" ht="15" customHeight="1" x14ac:dyDescent="0.2">
      <c r="A6" s="82"/>
      <c r="B6" s="83"/>
      <c r="C6" s="83"/>
      <c r="D6" s="83"/>
      <c r="E6" s="83"/>
      <c r="F6" s="85"/>
      <c r="G6" s="86"/>
      <c r="H6" s="86"/>
    </row>
    <row r="7" spans="1:9" ht="15" customHeight="1" thickBot="1" x14ac:dyDescent="0.25">
      <c r="A7" s="87" t="s">
        <v>20</v>
      </c>
      <c r="B7" s="88"/>
      <c r="C7" s="88"/>
      <c r="D7" s="88"/>
      <c r="E7" s="88"/>
      <c r="F7" s="90"/>
      <c r="G7" s="91"/>
      <c r="H7" s="91"/>
    </row>
    <row r="8" spans="1:9" ht="15" customHeight="1" thickTop="1" x14ac:dyDescent="0.2">
      <c r="A8" s="82"/>
      <c r="B8" s="77"/>
      <c r="C8" s="77"/>
      <c r="D8" s="77"/>
      <c r="E8" s="77"/>
      <c r="F8" s="79"/>
      <c r="G8" s="80"/>
      <c r="H8" s="80"/>
    </row>
    <row r="9" spans="1:9" ht="15" customHeight="1" x14ac:dyDescent="0.2">
      <c r="A9" s="82"/>
      <c r="B9" s="77"/>
      <c r="C9" s="77"/>
      <c r="D9" s="77"/>
      <c r="E9" s="77"/>
      <c r="F9" s="79"/>
      <c r="G9" s="80"/>
      <c r="H9" s="80"/>
    </row>
    <row r="10" spans="1:9" ht="15" customHeight="1" x14ac:dyDescent="0.2">
      <c r="A10" s="92" t="s">
        <v>18</v>
      </c>
      <c r="B10" s="77"/>
      <c r="C10" s="77"/>
      <c r="D10" s="77"/>
      <c r="E10" s="77"/>
      <c r="F10" s="79"/>
      <c r="G10" s="80"/>
      <c r="H10" s="80"/>
    </row>
    <row r="11" spans="1:9" ht="15" customHeight="1" x14ac:dyDescent="0.2">
      <c r="A11" s="93" t="s">
        <v>30</v>
      </c>
      <c r="B11" s="77"/>
      <c r="C11" s="77"/>
      <c r="D11" s="77"/>
      <c r="E11" s="77"/>
      <c r="F11" s="79"/>
      <c r="G11" s="80"/>
      <c r="H11" s="80"/>
    </row>
    <row r="12" spans="1:9" ht="15" customHeight="1" x14ac:dyDescent="0.2">
      <c r="A12" s="82"/>
      <c r="B12" s="77"/>
      <c r="C12" s="77"/>
      <c r="D12" s="77"/>
      <c r="E12" s="77"/>
      <c r="F12" s="79"/>
      <c r="G12" s="80"/>
      <c r="H12" s="80"/>
    </row>
    <row r="13" spans="1:9" ht="15" customHeight="1" x14ac:dyDescent="0.2">
      <c r="A13" s="82"/>
      <c r="B13" s="83"/>
      <c r="C13" s="83"/>
      <c r="D13" s="83"/>
      <c r="E13" s="83"/>
      <c r="F13" s="85"/>
      <c r="G13" s="86"/>
      <c r="H13" s="86"/>
    </row>
    <row r="14" spans="1:9" ht="15" customHeight="1" thickBot="1" x14ac:dyDescent="0.25">
      <c r="A14" s="87" t="s">
        <v>20</v>
      </c>
      <c r="B14" s="88"/>
      <c r="C14" s="88"/>
      <c r="D14" s="88"/>
      <c r="E14" s="88"/>
      <c r="F14" s="90"/>
      <c r="G14" s="91"/>
      <c r="H14" s="91"/>
    </row>
    <row r="15" spans="1:9" ht="15" customHeight="1" thickTop="1" x14ac:dyDescent="0.2">
      <c r="A15" s="82"/>
      <c r="B15" s="77"/>
      <c r="C15" s="77"/>
      <c r="D15" s="77"/>
      <c r="E15" s="77"/>
      <c r="F15" s="79"/>
      <c r="G15" s="80"/>
      <c r="H15" s="80"/>
    </row>
    <row r="16" spans="1:9" ht="15" customHeight="1" x14ac:dyDescent="0.2">
      <c r="A16" s="82"/>
      <c r="B16" s="77"/>
      <c r="C16" s="77"/>
      <c r="D16" s="77"/>
      <c r="E16" s="77"/>
      <c r="F16" s="79"/>
      <c r="G16" s="80"/>
      <c r="H16" s="80"/>
    </row>
    <row r="17" spans="1:8" ht="15" customHeight="1" x14ac:dyDescent="0.2">
      <c r="A17" s="92" t="s">
        <v>41</v>
      </c>
      <c r="B17" s="77"/>
      <c r="C17" s="77"/>
      <c r="D17" s="77"/>
      <c r="E17" s="77"/>
      <c r="F17" s="79"/>
      <c r="G17" s="80"/>
      <c r="H17" s="80"/>
    </row>
    <row r="18" spans="1:8" ht="15" customHeight="1" x14ac:dyDescent="0.2">
      <c r="A18" s="93" t="s">
        <v>43</v>
      </c>
      <c r="B18" s="77"/>
      <c r="C18" s="77"/>
      <c r="D18" s="77"/>
      <c r="E18" s="77"/>
      <c r="F18" s="79"/>
      <c r="G18" s="80"/>
      <c r="H18" s="80"/>
    </row>
    <row r="19" spans="1:8" x14ac:dyDescent="0.2">
      <c r="A19" s="82"/>
      <c r="B19" s="83"/>
      <c r="C19" s="83"/>
      <c r="D19" s="83"/>
      <c r="E19" s="83"/>
      <c r="F19" s="85"/>
      <c r="G19" s="86"/>
      <c r="H19" s="86"/>
    </row>
    <row r="20" spans="1:8" ht="13.5" thickBot="1" x14ac:dyDescent="0.25">
      <c r="A20" s="87" t="s">
        <v>20</v>
      </c>
      <c r="B20" s="88"/>
      <c r="C20" s="88"/>
      <c r="D20" s="88"/>
      <c r="E20" s="88"/>
      <c r="F20" s="90"/>
      <c r="G20" s="91"/>
      <c r="H20" s="91"/>
    </row>
    <row r="21" spans="1:8" ht="13.5" thickTop="1" x14ac:dyDescent="0.2">
      <c r="A21" s="82"/>
      <c r="B21" s="77"/>
      <c r="C21" s="77"/>
      <c r="D21" s="77"/>
      <c r="E21" s="77"/>
      <c r="F21" s="79"/>
      <c r="G21" s="80"/>
      <c r="H21" s="80"/>
    </row>
    <row r="22" spans="1:8" x14ac:dyDescent="0.2">
      <c r="A22" s="82"/>
      <c r="B22" s="77"/>
      <c r="C22" s="77"/>
      <c r="D22" s="77"/>
      <c r="E22" s="77"/>
      <c r="F22" s="79"/>
      <c r="G22" s="80"/>
      <c r="H22" s="80"/>
    </row>
    <row r="23" spans="1:8" x14ac:dyDescent="0.2">
      <c r="A23" s="92" t="s">
        <v>41</v>
      </c>
      <c r="B23" s="77"/>
      <c r="C23" s="77"/>
      <c r="D23" s="77"/>
      <c r="E23" s="77"/>
      <c r="F23" s="79"/>
      <c r="G23" s="80"/>
      <c r="H23" s="80"/>
    </row>
    <row r="24" spans="1:8" x14ac:dyDescent="0.2">
      <c r="A24" s="93" t="s">
        <v>50</v>
      </c>
      <c r="B24" s="77"/>
      <c r="C24" s="77"/>
      <c r="D24" s="77"/>
      <c r="E24" s="77"/>
      <c r="F24" s="79"/>
      <c r="G24" s="80"/>
      <c r="H24" s="80"/>
    </row>
    <row r="25" spans="1:8" x14ac:dyDescent="0.2">
      <c r="A25" s="82"/>
      <c r="B25" s="77"/>
      <c r="C25" s="77"/>
      <c r="D25" s="77"/>
      <c r="E25" s="77"/>
      <c r="F25" s="79"/>
      <c r="G25" s="80"/>
      <c r="H25" s="80"/>
    </row>
    <row r="26" spans="1:8" x14ac:dyDescent="0.2">
      <c r="A26" s="82"/>
      <c r="B26" s="83"/>
      <c r="C26" s="83"/>
      <c r="D26" s="83"/>
      <c r="E26" s="83"/>
      <c r="F26" s="85"/>
      <c r="G26" s="86"/>
      <c r="H26" s="86"/>
    </row>
    <row r="27" spans="1:8" ht="13.5" thickBot="1" x14ac:dyDescent="0.25">
      <c r="A27" s="87" t="s">
        <v>20</v>
      </c>
      <c r="B27" s="88"/>
      <c r="C27" s="88"/>
      <c r="D27" s="88"/>
      <c r="E27" s="88"/>
      <c r="F27" s="90"/>
      <c r="G27" s="91"/>
      <c r="H27" s="91"/>
    </row>
    <row r="28" spans="1:8" ht="13.5" thickTop="1" x14ac:dyDescent="0.2">
      <c r="A28" s="76"/>
      <c r="B28" s="77"/>
      <c r="C28" s="77"/>
      <c r="D28" s="77"/>
      <c r="E28" s="77"/>
      <c r="F28" s="79"/>
      <c r="G28" s="80"/>
      <c r="H28" s="80"/>
    </row>
    <row r="29" spans="1:8" x14ac:dyDescent="0.2">
      <c r="A29" s="82"/>
      <c r="B29" s="77"/>
      <c r="C29" s="77"/>
      <c r="D29" s="77"/>
      <c r="E29" s="77"/>
      <c r="F29" s="79"/>
      <c r="G29" s="80"/>
      <c r="H29" s="80"/>
    </row>
    <row r="30" spans="1:8" x14ac:dyDescent="0.2">
      <c r="A30" s="92" t="s">
        <v>59</v>
      </c>
      <c r="B30" s="77"/>
      <c r="C30" s="77"/>
      <c r="D30" s="77"/>
      <c r="E30" s="77"/>
      <c r="F30" s="79"/>
      <c r="G30" s="80"/>
      <c r="H30" s="80"/>
    </row>
    <row r="31" spans="1:8" x14ac:dyDescent="0.2">
      <c r="A31" s="93" t="s">
        <v>60</v>
      </c>
      <c r="B31" s="77"/>
      <c r="C31" s="77"/>
      <c r="D31" s="77"/>
      <c r="E31" s="77"/>
      <c r="F31" s="79"/>
      <c r="G31" s="80"/>
      <c r="H31" s="80"/>
    </row>
    <row r="32" spans="1:8" x14ac:dyDescent="0.2">
      <c r="A32" s="92"/>
      <c r="B32" s="77"/>
      <c r="C32" s="77"/>
      <c r="D32" s="77"/>
      <c r="E32" s="77"/>
      <c r="F32" s="79"/>
      <c r="G32" s="80"/>
      <c r="H32" s="80"/>
    </row>
    <row r="33" spans="1:8" x14ac:dyDescent="0.2">
      <c r="A33" s="92"/>
      <c r="B33" s="94"/>
      <c r="C33" s="94"/>
      <c r="D33" s="94"/>
      <c r="E33" s="94"/>
      <c r="F33" s="96"/>
      <c r="G33" s="97"/>
      <c r="H33" s="97"/>
    </row>
    <row r="34" spans="1:8" ht="13.5" thickBot="1" x14ac:dyDescent="0.25">
      <c r="A34" s="87" t="s">
        <v>20</v>
      </c>
      <c r="B34" s="88"/>
      <c r="C34" s="88"/>
      <c r="D34" s="88"/>
      <c r="E34" s="88"/>
      <c r="F34" s="90"/>
      <c r="G34" s="91"/>
      <c r="H34" s="91"/>
    </row>
    <row r="35" spans="1:8" ht="13.5" thickTop="1" x14ac:dyDescent="0.2">
      <c r="A35" s="76"/>
      <c r="B35" s="77"/>
      <c r="C35" s="77"/>
      <c r="D35" s="77"/>
      <c r="E35" s="77"/>
      <c r="F35" s="79"/>
      <c r="G35" s="80"/>
      <c r="H35" s="80"/>
    </row>
    <row r="36" spans="1:8" x14ac:dyDescent="0.2">
      <c r="A36" s="98"/>
      <c r="B36" s="99"/>
      <c r="C36" s="77"/>
      <c r="D36" s="77"/>
      <c r="E36" s="77"/>
      <c r="F36" s="79"/>
      <c r="G36" s="80"/>
      <c r="H36" s="80"/>
    </row>
    <row r="37" spans="1:8" x14ac:dyDescent="0.2">
      <c r="A37" s="92" t="s">
        <v>279</v>
      </c>
      <c r="B37" s="77"/>
      <c r="C37" s="77"/>
      <c r="D37" s="77"/>
      <c r="E37" s="77"/>
      <c r="F37" s="79"/>
      <c r="G37" s="80"/>
      <c r="H37" s="80"/>
    </row>
    <row r="38" spans="1:8" x14ac:dyDescent="0.2">
      <c r="A38" s="93" t="s">
        <v>67</v>
      </c>
      <c r="B38" s="77"/>
      <c r="C38" s="77"/>
      <c r="D38" s="77"/>
      <c r="E38" s="77"/>
      <c r="F38" s="79"/>
      <c r="G38" s="80"/>
      <c r="H38" s="80"/>
    </row>
    <row r="39" spans="1:8" x14ac:dyDescent="0.2">
      <c r="A39" s="92"/>
      <c r="B39" s="83"/>
      <c r="C39" s="83"/>
      <c r="D39" s="83"/>
      <c r="E39" s="83"/>
      <c r="F39" s="85"/>
      <c r="G39" s="86"/>
      <c r="H39" s="86"/>
    </row>
    <row r="40" spans="1:8" ht="13.5" thickBot="1" x14ac:dyDescent="0.25">
      <c r="A40" s="87" t="s">
        <v>20</v>
      </c>
      <c r="B40" s="88"/>
      <c r="C40" s="88"/>
      <c r="D40" s="88"/>
      <c r="E40" s="88"/>
      <c r="F40" s="90"/>
      <c r="G40" s="91"/>
      <c r="H40" s="91"/>
    </row>
    <row r="41" spans="1:8" ht="13.5" thickTop="1" x14ac:dyDescent="0.2">
      <c r="A41" s="76"/>
      <c r="B41" s="100"/>
      <c r="C41" s="100"/>
      <c r="D41" s="100"/>
      <c r="E41" s="100"/>
      <c r="F41" s="102"/>
      <c r="G41" s="103"/>
      <c r="H41" s="103"/>
    </row>
    <row r="42" spans="1:8" x14ac:dyDescent="0.2">
      <c r="A42" s="92" t="s">
        <v>71</v>
      </c>
      <c r="B42" s="100"/>
      <c r="C42" s="100"/>
      <c r="D42" s="100"/>
      <c r="E42" s="100"/>
      <c r="F42" s="102"/>
      <c r="G42" s="103"/>
      <c r="H42" s="103"/>
    </row>
    <row r="43" spans="1:8" x14ac:dyDescent="0.2">
      <c r="A43" s="93" t="s">
        <v>72</v>
      </c>
      <c r="B43" s="104"/>
      <c r="C43" s="104"/>
      <c r="D43" s="104"/>
      <c r="E43" s="104"/>
      <c r="F43" s="106"/>
      <c r="G43" s="107"/>
      <c r="H43" s="107"/>
    </row>
    <row r="44" spans="1:8" ht="13.5" thickBot="1" x14ac:dyDescent="0.25">
      <c r="A44" s="87" t="s">
        <v>20</v>
      </c>
      <c r="B44" s="108"/>
      <c r="C44" s="108"/>
      <c r="D44" s="108"/>
      <c r="E44" s="108"/>
      <c r="F44" s="110"/>
      <c r="G44" s="111"/>
      <c r="H44" s="111"/>
    </row>
    <row r="45" spans="1:8" ht="13.5" thickTop="1" x14ac:dyDescent="0.2">
      <c r="A45" s="112" t="s">
        <v>280</v>
      </c>
      <c r="B45" s="113"/>
      <c r="C45" s="113"/>
      <c r="D45" s="113"/>
      <c r="E45" s="113"/>
      <c r="F45" s="113"/>
      <c r="G45" s="113"/>
      <c r="H45" s="113"/>
    </row>
    <row r="46" spans="1:8" x14ac:dyDescent="0.2">
      <c r="A46" s="114" t="s">
        <v>282</v>
      </c>
      <c r="B46" s="113"/>
      <c r="C46" s="113"/>
      <c r="D46" s="113"/>
      <c r="E46" s="113"/>
      <c r="F46" s="113"/>
      <c r="G46" s="113"/>
      <c r="H46" s="113"/>
    </row>
    <row r="47" spans="1:8" x14ac:dyDescent="0.2">
      <c r="A47" s="115"/>
      <c r="B47" s="113"/>
      <c r="C47" s="113"/>
      <c r="D47" s="113"/>
      <c r="E47" s="113"/>
      <c r="F47" s="113"/>
      <c r="G47" s="113"/>
      <c r="H47" s="113"/>
    </row>
    <row r="48" spans="1:8" x14ac:dyDescent="0.2">
      <c r="A48" s="115"/>
      <c r="B48" s="113"/>
      <c r="C48" s="113"/>
      <c r="D48" s="113"/>
      <c r="E48" s="113"/>
      <c r="F48" s="113"/>
      <c r="G48" s="113"/>
      <c r="H48" s="113"/>
    </row>
    <row r="49" spans="1:8" x14ac:dyDescent="0.2">
      <c r="A49" s="115"/>
      <c r="B49" s="113"/>
      <c r="C49" s="113"/>
      <c r="D49" s="113"/>
      <c r="E49" s="113"/>
      <c r="F49" s="113"/>
      <c r="G49" s="113"/>
      <c r="H49" s="113"/>
    </row>
    <row r="50" spans="1:8" x14ac:dyDescent="0.2">
      <c r="A50" s="115"/>
      <c r="B50" s="116"/>
      <c r="C50" s="116"/>
      <c r="D50" s="116"/>
      <c r="E50" s="116"/>
      <c r="F50" s="116"/>
      <c r="G50" s="116"/>
      <c r="H50" s="116"/>
    </row>
    <row r="51" spans="1:8" x14ac:dyDescent="0.2">
      <c r="A51" s="117"/>
      <c r="B51" s="116"/>
      <c r="C51" s="116"/>
      <c r="D51" s="116"/>
      <c r="E51" s="116"/>
      <c r="F51" s="116"/>
      <c r="G51" s="116"/>
      <c r="H51" s="116"/>
    </row>
    <row r="52" spans="1:8" x14ac:dyDescent="0.2">
      <c r="A52" s="117"/>
      <c r="B52" s="116"/>
      <c r="C52" s="116"/>
      <c r="D52" s="116"/>
      <c r="E52" s="116"/>
      <c r="F52" s="116"/>
      <c r="G52" s="116"/>
      <c r="H52" s="116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5"/>
      <c r="B59" s="118"/>
      <c r="C59" s="118"/>
      <c r="D59" s="118"/>
      <c r="E59" s="118"/>
      <c r="F59" s="118"/>
      <c r="G59" s="118"/>
      <c r="H59" s="118"/>
    </row>
    <row r="60" spans="1:8" x14ac:dyDescent="0.2">
      <c r="A60" s="117"/>
      <c r="B60" s="118"/>
      <c r="C60" s="118"/>
      <c r="D60" s="118"/>
      <c r="E60" s="118"/>
      <c r="F60" s="118"/>
      <c r="G60" s="118"/>
      <c r="H60" s="118"/>
    </row>
    <row r="61" spans="1:8" x14ac:dyDescent="0.2">
      <c r="A61" s="117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"/>
      <headerFooter alignWithMargins="0">
        <oddHeader>&amp;C2019.11.04-10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2"/>
      <headerFooter alignWithMargins="0">
        <oddHeader>&amp;C2019.11.04-10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3"/>
      <headerFooter alignWithMargins="0">
        <oddHeader>&amp;C2019.11.04-10</oddHeader>
      </headerFooter>
    </customSheetView>
    <customSheetView guid="{4B58F0A9-071E-4376-B7AD-463366669E19}" scale="80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4"/>
      <headerFooter alignWithMargins="0">
        <oddHeader>&amp;C2019.11.04-10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&amp;C2019.11.04-10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6"/>
      <headerFooter alignWithMargins="0">
        <oddHeader>&amp;C2019.11.04-10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7"/>
      <headerFooter alignWithMargins="0">
        <oddHeader>&amp;C2019.11.04-10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8"/>
      <headerFooter alignWithMargins="0">
        <oddHeader>&amp;C2019.11.04-10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9"/>
      <headerFooter alignWithMargins="0">
        <oddHeader>&amp;C2019.11.04-10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0"/>
      <headerFooter alignWithMargins="0">
        <oddHeader>&amp;C2019.11.04-10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1"/>
      <headerFooter alignWithMargins="0">
        <oddHeader>&amp;C2019.11.04-10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2"/>
      <headerFooter alignWithMargins="0">
        <oddHeader>&amp;C2019.11.04-10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8" scale="95" orientation="landscape" r:id="rId13"/>
  <headerFooter alignWithMargins="0">
    <oddHeader>&amp;C2019.11.04-10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Munka34"/>
  <dimension ref="A1:I140"/>
  <sheetViews>
    <sheetView zoomScale="80" zoomScaleNormal="80" zoomScaleSheetLayoutView="40" workbookViewId="0">
      <pane ySplit="1" topLeftCell="A2" activePane="bottomLeft" state="frozen"/>
      <selection pane="bottomLeft" activeCell="E25" sqref="E25"/>
    </sheetView>
  </sheetViews>
  <sheetFormatPr defaultColWidth="9.140625" defaultRowHeight="12.75" x14ac:dyDescent="0.2"/>
  <cols>
    <col min="1" max="1" width="10.7109375" style="119" customWidth="1"/>
    <col min="2" max="6" width="30.7109375" style="69" customWidth="1"/>
    <col min="7" max="8" width="20.7109375" style="69" customWidth="1"/>
    <col min="9" max="9" width="30.7109375" style="69" customWidth="1"/>
    <col min="10" max="16384" width="9.140625" style="69"/>
  </cols>
  <sheetData>
    <row r="1" spans="1:9" ht="28.5" customHeight="1" thickTop="1" thickBot="1" x14ac:dyDescent="0.25">
      <c r="A1" s="64" t="s">
        <v>1143</v>
      </c>
      <c r="B1" s="65" t="s">
        <v>1144</v>
      </c>
      <c r="C1" s="65" t="s">
        <v>1145</v>
      </c>
      <c r="D1" s="65" t="s">
        <v>1146</v>
      </c>
      <c r="E1" s="65" t="s">
        <v>1147</v>
      </c>
      <c r="F1" s="65" t="s">
        <v>1148</v>
      </c>
      <c r="G1" s="67" t="s">
        <v>1149</v>
      </c>
      <c r="H1" s="67" t="s">
        <v>1150</v>
      </c>
      <c r="I1" s="68"/>
    </row>
    <row r="2" spans="1:9" ht="15" customHeight="1" x14ac:dyDescent="0.2">
      <c r="A2" s="70"/>
      <c r="B2" s="71"/>
      <c r="C2" s="71"/>
      <c r="D2" s="71"/>
      <c r="E2" s="71"/>
      <c r="F2" s="73"/>
      <c r="G2" s="74"/>
      <c r="H2" s="74"/>
      <c r="I2" s="75"/>
    </row>
    <row r="3" spans="1:9" ht="15" customHeight="1" x14ac:dyDescent="0.2">
      <c r="A3" s="76"/>
      <c r="B3" s="77"/>
      <c r="C3" s="77"/>
      <c r="D3" s="77"/>
      <c r="E3" s="77"/>
      <c r="F3" s="79"/>
      <c r="G3" s="80"/>
      <c r="H3" s="80"/>
      <c r="I3" s="75"/>
    </row>
    <row r="4" spans="1:9" ht="15" customHeight="1" x14ac:dyDescent="0.2">
      <c r="A4" s="76" t="s">
        <v>18</v>
      </c>
      <c r="B4" s="77"/>
      <c r="C4" s="77"/>
      <c r="D4" s="77"/>
      <c r="E4" s="77"/>
      <c r="F4" s="79"/>
      <c r="G4" s="80"/>
      <c r="H4" s="80"/>
    </row>
    <row r="5" spans="1:9" ht="15" customHeight="1" x14ac:dyDescent="0.2">
      <c r="A5" s="81" t="s">
        <v>19</v>
      </c>
      <c r="B5" s="77"/>
      <c r="C5" s="77"/>
      <c r="D5" s="77"/>
      <c r="E5" s="77"/>
      <c r="F5" s="79"/>
      <c r="G5" s="80"/>
      <c r="H5" s="80"/>
    </row>
    <row r="6" spans="1:9" ht="15" customHeight="1" x14ac:dyDescent="0.2">
      <c r="A6" s="82"/>
      <c r="B6" s="83"/>
      <c r="C6" s="83"/>
      <c r="D6" s="83"/>
      <c r="E6" s="83"/>
      <c r="F6" s="85"/>
      <c r="G6" s="86"/>
      <c r="H6" s="86"/>
    </row>
    <row r="7" spans="1:9" ht="15" customHeight="1" thickBot="1" x14ac:dyDescent="0.25">
      <c r="A7" s="87" t="s">
        <v>20</v>
      </c>
      <c r="B7" s="88"/>
      <c r="C7" s="88"/>
      <c r="D7" s="88"/>
      <c r="E7" s="88"/>
      <c r="F7" s="90"/>
      <c r="G7" s="91"/>
      <c r="H7" s="91"/>
    </row>
    <row r="8" spans="1:9" ht="15" customHeight="1" thickTop="1" x14ac:dyDescent="0.2">
      <c r="A8" s="82"/>
      <c r="B8" s="77"/>
      <c r="C8" s="77"/>
      <c r="D8" s="77"/>
      <c r="E8" s="77"/>
      <c r="F8" s="79"/>
      <c r="G8" s="80"/>
      <c r="H8" s="80"/>
    </row>
    <row r="9" spans="1:9" ht="15" customHeight="1" x14ac:dyDescent="0.2">
      <c r="A9" s="82"/>
      <c r="B9" s="77"/>
      <c r="C9" s="77"/>
      <c r="D9" s="77"/>
      <c r="E9" s="77"/>
      <c r="F9" s="79"/>
      <c r="G9" s="80"/>
      <c r="H9" s="80"/>
    </row>
    <row r="10" spans="1:9" ht="15" customHeight="1" x14ac:dyDescent="0.2">
      <c r="A10" s="92" t="s">
        <v>18</v>
      </c>
      <c r="B10" s="77"/>
      <c r="C10" s="77"/>
      <c r="D10" s="77"/>
      <c r="E10" s="77"/>
      <c r="F10" s="79"/>
      <c r="G10" s="80"/>
      <c r="H10" s="80"/>
    </row>
    <row r="11" spans="1:9" ht="15" customHeight="1" x14ac:dyDescent="0.2">
      <c r="A11" s="93" t="s">
        <v>30</v>
      </c>
      <c r="B11" s="77"/>
      <c r="C11" s="77"/>
      <c r="D11" s="77"/>
      <c r="E11" s="77"/>
      <c r="F11" s="79"/>
      <c r="G11" s="80"/>
      <c r="H11" s="80"/>
    </row>
    <row r="12" spans="1:9" ht="15" customHeight="1" x14ac:dyDescent="0.2">
      <c r="A12" s="82"/>
      <c r="B12" s="77"/>
      <c r="C12" s="77"/>
      <c r="D12" s="77"/>
      <c r="E12" s="77"/>
      <c r="F12" s="79"/>
      <c r="G12" s="80"/>
      <c r="H12" s="80"/>
    </row>
    <row r="13" spans="1:9" ht="15" customHeight="1" x14ac:dyDescent="0.2">
      <c r="A13" s="82"/>
      <c r="B13" s="83"/>
      <c r="C13" s="83"/>
      <c r="D13" s="83"/>
      <c r="E13" s="83"/>
      <c r="F13" s="85"/>
      <c r="G13" s="86"/>
      <c r="H13" s="86"/>
    </row>
    <row r="14" spans="1:9" ht="15" customHeight="1" thickBot="1" x14ac:dyDescent="0.25">
      <c r="A14" s="87" t="s">
        <v>20</v>
      </c>
      <c r="B14" s="88"/>
      <c r="C14" s="88"/>
      <c r="D14" s="88"/>
      <c r="E14" s="88"/>
      <c r="F14" s="90"/>
      <c r="G14" s="91"/>
      <c r="H14" s="91"/>
    </row>
    <row r="15" spans="1:9" ht="15" customHeight="1" thickTop="1" x14ac:dyDescent="0.2">
      <c r="A15" s="82"/>
      <c r="B15" s="77"/>
      <c r="C15" s="77"/>
      <c r="D15" s="77"/>
      <c r="E15" s="77"/>
      <c r="F15" s="79"/>
      <c r="G15" s="80"/>
      <c r="H15" s="80"/>
    </row>
    <row r="16" spans="1:9" ht="15" customHeight="1" x14ac:dyDescent="0.2">
      <c r="A16" s="82"/>
      <c r="B16" s="77"/>
      <c r="C16" s="77"/>
      <c r="D16" s="77"/>
      <c r="E16" s="77"/>
      <c r="F16" s="79"/>
      <c r="G16" s="80"/>
      <c r="H16" s="80"/>
    </row>
    <row r="17" spans="1:8" ht="15" customHeight="1" x14ac:dyDescent="0.2">
      <c r="A17" s="92" t="s">
        <v>41</v>
      </c>
      <c r="B17" s="77"/>
      <c r="C17" s="77"/>
      <c r="D17" s="77"/>
      <c r="E17" s="77"/>
      <c r="F17" s="79"/>
      <c r="G17" s="80"/>
      <c r="H17" s="80"/>
    </row>
    <row r="18" spans="1:8" ht="15" customHeight="1" x14ac:dyDescent="0.2">
      <c r="A18" s="93" t="s">
        <v>43</v>
      </c>
      <c r="B18" s="77"/>
      <c r="C18" s="77"/>
      <c r="D18" s="77"/>
      <c r="E18" s="77"/>
      <c r="F18" s="79"/>
      <c r="G18" s="80"/>
      <c r="H18" s="80"/>
    </row>
    <row r="19" spans="1:8" x14ac:dyDescent="0.2">
      <c r="A19" s="82"/>
      <c r="B19" s="83"/>
      <c r="C19" s="83"/>
      <c r="D19" s="83"/>
      <c r="E19" s="83"/>
      <c r="F19" s="85"/>
      <c r="G19" s="86"/>
      <c r="H19" s="86"/>
    </row>
    <row r="20" spans="1:8" ht="13.5" thickBot="1" x14ac:dyDescent="0.25">
      <c r="A20" s="87" t="s">
        <v>20</v>
      </c>
      <c r="B20" s="88"/>
      <c r="C20" s="88"/>
      <c r="D20" s="88"/>
      <c r="E20" s="88"/>
      <c r="F20" s="90"/>
      <c r="G20" s="91"/>
      <c r="H20" s="91"/>
    </row>
    <row r="21" spans="1:8" ht="13.5" thickTop="1" x14ac:dyDescent="0.2">
      <c r="A21" s="82"/>
      <c r="B21" s="77"/>
      <c r="C21" s="77"/>
      <c r="D21" s="77"/>
      <c r="E21" s="77"/>
      <c r="F21" s="79"/>
      <c r="G21" s="80"/>
      <c r="H21" s="80"/>
    </row>
    <row r="22" spans="1:8" x14ac:dyDescent="0.2">
      <c r="A22" s="82"/>
      <c r="B22" s="77"/>
      <c r="C22" s="77"/>
      <c r="D22" s="77"/>
      <c r="E22" s="77"/>
      <c r="F22" s="79"/>
      <c r="G22" s="80"/>
      <c r="H22" s="80"/>
    </row>
    <row r="23" spans="1:8" x14ac:dyDescent="0.2">
      <c r="A23" s="92" t="s">
        <v>41</v>
      </c>
      <c r="B23" s="77"/>
      <c r="C23" s="77"/>
      <c r="D23" s="77"/>
      <c r="E23" s="77"/>
      <c r="F23" s="79"/>
      <c r="G23" s="80"/>
      <c r="H23" s="80"/>
    </row>
    <row r="24" spans="1:8" x14ac:dyDescent="0.2">
      <c r="A24" s="93" t="s">
        <v>50</v>
      </c>
      <c r="B24" s="77"/>
      <c r="C24" s="77"/>
      <c r="D24" s="77"/>
      <c r="E24" s="77"/>
      <c r="F24" s="79"/>
      <c r="G24" s="80"/>
      <c r="H24" s="80"/>
    </row>
    <row r="25" spans="1:8" x14ac:dyDescent="0.2">
      <c r="A25" s="82"/>
      <c r="B25" s="77"/>
      <c r="C25" s="77"/>
      <c r="D25" s="77"/>
      <c r="E25" s="77"/>
      <c r="F25" s="79"/>
      <c r="G25" s="80"/>
      <c r="H25" s="80"/>
    </row>
    <row r="26" spans="1:8" x14ac:dyDescent="0.2">
      <c r="A26" s="82"/>
      <c r="B26" s="83"/>
      <c r="C26" s="83"/>
      <c r="D26" s="83"/>
      <c r="E26" s="83"/>
      <c r="F26" s="85"/>
      <c r="G26" s="86"/>
      <c r="H26" s="86"/>
    </row>
    <row r="27" spans="1:8" ht="13.5" thickBot="1" x14ac:dyDescent="0.25">
      <c r="A27" s="87" t="s">
        <v>20</v>
      </c>
      <c r="B27" s="88"/>
      <c r="C27" s="88"/>
      <c r="D27" s="88"/>
      <c r="E27" s="88"/>
      <c r="F27" s="90"/>
      <c r="G27" s="91"/>
      <c r="H27" s="91"/>
    </row>
    <row r="28" spans="1:8" ht="13.5" thickTop="1" x14ac:dyDescent="0.2">
      <c r="A28" s="76"/>
      <c r="B28" s="77"/>
      <c r="C28" s="77"/>
      <c r="D28" s="77"/>
      <c r="E28" s="77"/>
      <c r="F28" s="79"/>
      <c r="G28" s="80"/>
      <c r="H28" s="80"/>
    </row>
    <row r="29" spans="1:8" x14ac:dyDescent="0.2">
      <c r="A29" s="82"/>
      <c r="B29" s="77"/>
      <c r="C29" s="77"/>
      <c r="D29" s="77"/>
      <c r="E29" s="77"/>
      <c r="F29" s="79"/>
      <c r="G29" s="80"/>
      <c r="H29" s="80"/>
    </row>
    <row r="30" spans="1:8" x14ac:dyDescent="0.2">
      <c r="A30" s="92" t="s">
        <v>59</v>
      </c>
      <c r="B30" s="77"/>
      <c r="C30" s="77"/>
      <c r="D30" s="77"/>
      <c r="E30" s="77"/>
      <c r="F30" s="79"/>
      <c r="G30" s="80"/>
      <c r="H30" s="80"/>
    </row>
    <row r="31" spans="1:8" x14ac:dyDescent="0.2">
      <c r="A31" s="93" t="s">
        <v>60</v>
      </c>
      <c r="B31" s="77"/>
      <c r="C31" s="77"/>
      <c r="D31" s="77"/>
      <c r="E31" s="77"/>
      <c r="F31" s="79"/>
      <c r="G31" s="80"/>
      <c r="H31" s="80"/>
    </row>
    <row r="32" spans="1:8" x14ac:dyDescent="0.2">
      <c r="A32" s="92"/>
      <c r="B32" s="77"/>
      <c r="C32" s="77"/>
      <c r="D32" s="77"/>
      <c r="E32" s="77"/>
      <c r="F32" s="79"/>
      <c r="G32" s="80"/>
      <c r="H32" s="80"/>
    </row>
    <row r="33" spans="1:8" x14ac:dyDescent="0.2">
      <c r="A33" s="92"/>
      <c r="B33" s="94"/>
      <c r="C33" s="94"/>
      <c r="D33" s="94"/>
      <c r="E33" s="94"/>
      <c r="F33" s="96"/>
      <c r="G33" s="97"/>
      <c r="H33" s="97"/>
    </row>
    <row r="34" spans="1:8" ht="13.5" thickBot="1" x14ac:dyDescent="0.25">
      <c r="A34" s="87" t="s">
        <v>20</v>
      </c>
      <c r="B34" s="88"/>
      <c r="C34" s="88"/>
      <c r="D34" s="88"/>
      <c r="E34" s="88"/>
      <c r="F34" s="90"/>
      <c r="G34" s="91"/>
      <c r="H34" s="91"/>
    </row>
    <row r="35" spans="1:8" ht="13.5" thickTop="1" x14ac:dyDescent="0.2">
      <c r="A35" s="76"/>
      <c r="B35" s="77"/>
      <c r="C35" s="77"/>
      <c r="D35" s="77"/>
      <c r="E35" s="77"/>
      <c r="F35" s="79"/>
      <c r="G35" s="80"/>
      <c r="H35" s="80"/>
    </row>
    <row r="36" spans="1:8" x14ac:dyDescent="0.2">
      <c r="A36" s="98"/>
      <c r="B36" s="99"/>
      <c r="C36" s="77"/>
      <c r="D36" s="77"/>
      <c r="E36" s="77"/>
      <c r="F36" s="79"/>
      <c r="G36" s="80"/>
      <c r="H36" s="80"/>
    </row>
    <row r="37" spans="1:8" x14ac:dyDescent="0.2">
      <c r="A37" s="92" t="s">
        <v>279</v>
      </c>
      <c r="B37" s="77"/>
      <c r="C37" s="77"/>
      <c r="D37" s="77"/>
      <c r="E37" s="77"/>
      <c r="F37" s="79"/>
      <c r="G37" s="80"/>
      <c r="H37" s="80"/>
    </row>
    <row r="38" spans="1:8" x14ac:dyDescent="0.2">
      <c r="A38" s="93" t="s">
        <v>67</v>
      </c>
      <c r="B38" s="77"/>
      <c r="C38" s="77"/>
      <c r="D38" s="77"/>
      <c r="E38" s="77"/>
      <c r="F38" s="79"/>
      <c r="G38" s="80"/>
      <c r="H38" s="80"/>
    </row>
    <row r="39" spans="1:8" x14ac:dyDescent="0.2">
      <c r="A39" s="92"/>
      <c r="B39" s="83"/>
      <c r="C39" s="83"/>
      <c r="D39" s="83"/>
      <c r="E39" s="83"/>
      <c r="F39" s="85"/>
      <c r="G39" s="86"/>
      <c r="H39" s="86"/>
    </row>
    <row r="40" spans="1:8" ht="13.5" thickBot="1" x14ac:dyDescent="0.25">
      <c r="A40" s="87" t="s">
        <v>20</v>
      </c>
      <c r="B40" s="88"/>
      <c r="C40" s="88"/>
      <c r="D40" s="88"/>
      <c r="E40" s="88"/>
      <c r="F40" s="90"/>
      <c r="G40" s="91"/>
      <c r="H40" s="91"/>
    </row>
    <row r="41" spans="1:8" ht="13.5" thickTop="1" x14ac:dyDescent="0.2">
      <c r="A41" s="76"/>
      <c r="B41" s="100"/>
      <c r="C41" s="100"/>
      <c r="D41" s="100"/>
      <c r="E41" s="100"/>
      <c r="F41" s="102"/>
      <c r="G41" s="103"/>
      <c r="H41" s="103"/>
    </row>
    <row r="42" spans="1:8" x14ac:dyDescent="0.2">
      <c r="A42" s="92" t="s">
        <v>71</v>
      </c>
      <c r="B42" s="100"/>
      <c r="C42" s="100"/>
      <c r="D42" s="100"/>
      <c r="E42" s="100"/>
      <c r="F42" s="102"/>
      <c r="G42" s="103"/>
      <c r="H42" s="103"/>
    </row>
    <row r="43" spans="1:8" x14ac:dyDescent="0.2">
      <c r="A43" s="93" t="s">
        <v>72</v>
      </c>
      <c r="B43" s="104"/>
      <c r="C43" s="104"/>
      <c r="D43" s="104"/>
      <c r="E43" s="104"/>
      <c r="F43" s="106"/>
      <c r="G43" s="107"/>
      <c r="H43" s="107"/>
    </row>
    <row r="44" spans="1:8" ht="13.5" thickBot="1" x14ac:dyDescent="0.25">
      <c r="A44" s="87" t="s">
        <v>20</v>
      </c>
      <c r="B44" s="108"/>
      <c r="C44" s="108"/>
      <c r="D44" s="108"/>
      <c r="E44" s="108"/>
      <c r="F44" s="110"/>
      <c r="G44" s="111"/>
      <c r="H44" s="111"/>
    </row>
    <row r="45" spans="1:8" ht="13.5" thickTop="1" x14ac:dyDescent="0.2">
      <c r="A45" s="112" t="s">
        <v>280</v>
      </c>
      <c r="B45" s="113"/>
      <c r="C45" s="113"/>
      <c r="D45" s="113"/>
      <c r="E45" s="113"/>
      <c r="F45" s="113"/>
      <c r="G45" s="113"/>
      <c r="H45" s="113"/>
    </row>
    <row r="46" spans="1:8" x14ac:dyDescent="0.2">
      <c r="A46" s="114" t="s">
        <v>282</v>
      </c>
      <c r="B46" s="113"/>
      <c r="C46" s="113"/>
      <c r="D46" s="113"/>
      <c r="E46" s="113"/>
      <c r="F46" s="113"/>
      <c r="G46" s="113"/>
      <c r="H46" s="113"/>
    </row>
    <row r="47" spans="1:8" x14ac:dyDescent="0.2">
      <c r="A47" s="115"/>
      <c r="B47" s="113"/>
      <c r="C47" s="113"/>
      <c r="D47" s="113"/>
      <c r="E47" s="113"/>
      <c r="F47" s="113"/>
      <c r="G47" s="113"/>
      <c r="H47" s="113"/>
    </row>
    <row r="48" spans="1:8" x14ac:dyDescent="0.2">
      <c r="A48" s="115"/>
      <c r="B48" s="113"/>
      <c r="C48" s="113"/>
      <c r="D48" s="113"/>
      <c r="E48" s="113"/>
      <c r="F48" s="113"/>
      <c r="G48" s="113"/>
      <c r="H48" s="113"/>
    </row>
    <row r="49" spans="1:8" x14ac:dyDescent="0.2">
      <c r="A49" s="115"/>
      <c r="B49" s="113"/>
      <c r="C49" s="113"/>
      <c r="D49" s="113"/>
      <c r="E49" s="113"/>
      <c r="F49" s="113"/>
      <c r="G49" s="113"/>
      <c r="H49" s="113"/>
    </row>
    <row r="50" spans="1:8" x14ac:dyDescent="0.2">
      <c r="A50" s="115"/>
      <c r="B50" s="116"/>
      <c r="C50" s="116"/>
      <c r="D50" s="116"/>
      <c r="E50" s="116"/>
      <c r="F50" s="116"/>
      <c r="G50" s="116"/>
      <c r="H50" s="116"/>
    </row>
    <row r="51" spans="1:8" x14ac:dyDescent="0.2">
      <c r="A51" s="117"/>
      <c r="B51" s="116"/>
      <c r="C51" s="116"/>
      <c r="D51" s="116"/>
      <c r="E51" s="116"/>
      <c r="F51" s="116"/>
      <c r="G51" s="116"/>
      <c r="H51" s="116"/>
    </row>
    <row r="52" spans="1:8" x14ac:dyDescent="0.2">
      <c r="A52" s="117"/>
      <c r="B52" s="116"/>
      <c r="C52" s="116"/>
      <c r="D52" s="116"/>
      <c r="E52" s="116"/>
      <c r="F52" s="116"/>
      <c r="G52" s="116"/>
      <c r="H52" s="116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5"/>
      <c r="B59" s="118"/>
      <c r="C59" s="118"/>
      <c r="D59" s="118"/>
      <c r="E59" s="118"/>
      <c r="F59" s="118"/>
      <c r="G59" s="118"/>
      <c r="H59" s="118"/>
    </row>
    <row r="60" spans="1:8" x14ac:dyDescent="0.2">
      <c r="A60" s="117"/>
      <c r="B60" s="118"/>
      <c r="C60" s="118"/>
      <c r="D60" s="118"/>
      <c r="E60" s="118"/>
      <c r="F60" s="118"/>
      <c r="G60" s="118"/>
      <c r="H60" s="118"/>
    </row>
    <row r="61" spans="1:8" x14ac:dyDescent="0.2">
      <c r="A61" s="117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"/>
      <headerFooter alignWithMargins="0">
        <oddHeader>&amp;C2019.11.11-17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2"/>
      <headerFooter alignWithMargins="0">
        <oddHeader>&amp;C2019.11.11-17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3"/>
      <headerFooter alignWithMargins="0">
        <oddHeader>&amp;C2019.11.11-17</oddHeader>
      </headerFooter>
    </customSheetView>
    <customSheetView guid="{4B58F0A9-071E-4376-B7AD-463366669E19}" scale="80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4"/>
      <headerFooter alignWithMargins="0">
        <oddHeader>&amp;C2019.11.11-17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&amp;C2019.11.11-17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6"/>
      <headerFooter alignWithMargins="0">
        <oddHeader>&amp;C2019.11.11-17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7"/>
      <headerFooter alignWithMargins="0">
        <oddHeader>&amp;C2019.11.11-17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8"/>
      <headerFooter alignWithMargins="0">
        <oddHeader>&amp;C2019.11.11-17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9"/>
      <headerFooter alignWithMargins="0">
        <oddHeader>&amp;C2019.11.11-17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0"/>
      <headerFooter alignWithMargins="0">
        <oddHeader>&amp;C2019.11.11-17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1"/>
      <headerFooter alignWithMargins="0">
        <oddHeader>&amp;C2019.11.11-17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2"/>
      <headerFooter alignWithMargins="0">
        <oddHeader>&amp;C2019.11.11-17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8" scale="95" orientation="landscape" r:id="rId13"/>
  <headerFooter alignWithMargins="0">
    <oddHeader>&amp;C2019.11.11-17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Munka35"/>
  <dimension ref="A1:I140"/>
  <sheetViews>
    <sheetView zoomScale="80" zoomScaleNormal="80" zoomScaleSheetLayoutView="40" workbookViewId="0">
      <pane ySplit="1" topLeftCell="A2" activePane="bottomLeft" state="frozen"/>
      <selection pane="bottomLeft" activeCell="E25" sqref="E25"/>
    </sheetView>
  </sheetViews>
  <sheetFormatPr defaultColWidth="9.140625" defaultRowHeight="12.75" x14ac:dyDescent="0.2"/>
  <cols>
    <col min="1" max="1" width="10.7109375" style="119" customWidth="1"/>
    <col min="2" max="6" width="30.7109375" style="69" customWidth="1"/>
    <col min="7" max="8" width="20.7109375" style="69" customWidth="1"/>
    <col min="9" max="9" width="30.7109375" style="69" customWidth="1"/>
    <col min="10" max="16384" width="9.140625" style="69"/>
  </cols>
  <sheetData>
    <row r="1" spans="1:9" ht="28.5" customHeight="1" thickTop="1" thickBot="1" x14ac:dyDescent="0.25">
      <c r="A1" s="64" t="s">
        <v>1151</v>
      </c>
      <c r="B1" s="65" t="s">
        <v>1152</v>
      </c>
      <c r="C1" s="65" t="s">
        <v>1153</v>
      </c>
      <c r="D1" s="65" t="s">
        <v>1154</v>
      </c>
      <c r="E1" s="65" t="s">
        <v>1155</v>
      </c>
      <c r="F1" s="65" t="s">
        <v>1156</v>
      </c>
      <c r="G1" s="67" t="s">
        <v>1157</v>
      </c>
      <c r="H1" s="67" t="s">
        <v>1158</v>
      </c>
      <c r="I1" s="68"/>
    </row>
    <row r="2" spans="1:9" ht="15" customHeight="1" x14ac:dyDescent="0.2">
      <c r="A2" s="70"/>
      <c r="B2" s="71"/>
      <c r="C2" s="71"/>
      <c r="D2" s="71"/>
      <c r="E2" s="71"/>
      <c r="F2" s="73"/>
      <c r="G2" s="74"/>
      <c r="H2" s="74"/>
      <c r="I2" s="75"/>
    </row>
    <row r="3" spans="1:9" ht="15" customHeight="1" x14ac:dyDescent="0.2">
      <c r="A3" s="76"/>
      <c r="B3" s="77"/>
      <c r="C3" s="77"/>
      <c r="D3" s="77"/>
      <c r="E3" s="77"/>
      <c r="F3" s="79"/>
      <c r="G3" s="80"/>
      <c r="H3" s="80"/>
      <c r="I3" s="75"/>
    </row>
    <row r="4" spans="1:9" ht="15" customHeight="1" x14ac:dyDescent="0.2">
      <c r="A4" s="76" t="s">
        <v>18</v>
      </c>
      <c r="B4" s="77"/>
      <c r="C4" s="77"/>
      <c r="D4" s="77"/>
      <c r="E4" s="77"/>
      <c r="F4" s="79"/>
      <c r="G4" s="80"/>
      <c r="H4" s="80"/>
    </row>
    <row r="5" spans="1:9" ht="15" customHeight="1" x14ac:dyDescent="0.2">
      <c r="A5" s="81" t="s">
        <v>19</v>
      </c>
      <c r="B5" s="77"/>
      <c r="C5" s="77"/>
      <c r="D5" s="77"/>
      <c r="E5" s="77"/>
      <c r="F5" s="79"/>
      <c r="G5" s="80"/>
      <c r="H5" s="80"/>
    </row>
    <row r="6" spans="1:9" ht="15" customHeight="1" x14ac:dyDescent="0.2">
      <c r="A6" s="82"/>
      <c r="B6" s="83"/>
      <c r="C6" s="83"/>
      <c r="D6" s="83"/>
      <c r="E6" s="83"/>
      <c r="F6" s="85"/>
      <c r="G6" s="86"/>
      <c r="H6" s="86"/>
    </row>
    <row r="7" spans="1:9" ht="15" customHeight="1" thickBot="1" x14ac:dyDescent="0.25">
      <c r="A7" s="87" t="s">
        <v>20</v>
      </c>
      <c r="B7" s="88"/>
      <c r="C7" s="88"/>
      <c r="D7" s="88"/>
      <c r="E7" s="88"/>
      <c r="F7" s="90"/>
      <c r="G7" s="91"/>
      <c r="H7" s="91"/>
    </row>
    <row r="8" spans="1:9" ht="15" customHeight="1" thickTop="1" x14ac:dyDescent="0.2">
      <c r="A8" s="82"/>
      <c r="B8" s="77"/>
      <c r="C8" s="77"/>
      <c r="D8" s="77"/>
      <c r="E8" s="77"/>
      <c r="F8" s="79"/>
      <c r="G8" s="80"/>
      <c r="H8" s="80"/>
    </row>
    <row r="9" spans="1:9" ht="15" customHeight="1" x14ac:dyDescent="0.2">
      <c r="A9" s="82"/>
      <c r="B9" s="77"/>
      <c r="C9" s="77"/>
      <c r="D9" s="77"/>
      <c r="E9" s="77"/>
      <c r="F9" s="79"/>
      <c r="G9" s="80"/>
      <c r="H9" s="80"/>
    </row>
    <row r="10" spans="1:9" ht="15" customHeight="1" x14ac:dyDescent="0.2">
      <c r="A10" s="92" t="s">
        <v>18</v>
      </c>
      <c r="B10" s="77"/>
      <c r="C10" s="77"/>
      <c r="D10" s="77"/>
      <c r="E10" s="77"/>
      <c r="F10" s="79"/>
      <c r="G10" s="80"/>
      <c r="H10" s="80"/>
    </row>
    <row r="11" spans="1:9" ht="15" customHeight="1" x14ac:dyDescent="0.2">
      <c r="A11" s="93" t="s">
        <v>30</v>
      </c>
      <c r="B11" s="77"/>
      <c r="C11" s="77"/>
      <c r="D11" s="77"/>
      <c r="E11" s="77"/>
      <c r="F11" s="79"/>
      <c r="G11" s="80"/>
      <c r="H11" s="80"/>
    </row>
    <row r="12" spans="1:9" ht="15" customHeight="1" x14ac:dyDescent="0.2">
      <c r="A12" s="82"/>
      <c r="B12" s="77"/>
      <c r="C12" s="77"/>
      <c r="D12" s="77"/>
      <c r="E12" s="77"/>
      <c r="F12" s="79"/>
      <c r="G12" s="80"/>
      <c r="H12" s="80"/>
    </row>
    <row r="13" spans="1:9" ht="15" customHeight="1" x14ac:dyDescent="0.2">
      <c r="A13" s="82"/>
      <c r="B13" s="83"/>
      <c r="C13" s="83"/>
      <c r="D13" s="83"/>
      <c r="E13" s="83"/>
      <c r="F13" s="85"/>
      <c r="G13" s="86"/>
      <c r="H13" s="86"/>
    </row>
    <row r="14" spans="1:9" ht="15" customHeight="1" thickBot="1" x14ac:dyDescent="0.25">
      <c r="A14" s="87" t="s">
        <v>20</v>
      </c>
      <c r="B14" s="88"/>
      <c r="C14" s="88"/>
      <c r="D14" s="88"/>
      <c r="E14" s="88"/>
      <c r="F14" s="90"/>
      <c r="G14" s="91"/>
      <c r="H14" s="91"/>
    </row>
    <row r="15" spans="1:9" ht="15" customHeight="1" thickTop="1" x14ac:dyDescent="0.2">
      <c r="A15" s="82"/>
      <c r="B15" s="77"/>
      <c r="C15" s="77"/>
      <c r="D15" s="77"/>
      <c r="E15" s="77"/>
      <c r="F15" s="79"/>
      <c r="G15" s="80"/>
      <c r="H15" s="80"/>
    </row>
    <row r="16" spans="1:9" ht="15" customHeight="1" x14ac:dyDescent="0.2">
      <c r="A16" s="82"/>
      <c r="B16" s="77"/>
      <c r="C16" s="77"/>
      <c r="D16" s="77"/>
      <c r="E16" s="77"/>
      <c r="F16" s="79"/>
      <c r="G16" s="80"/>
      <c r="H16" s="80"/>
    </row>
    <row r="17" spans="1:8" ht="15" customHeight="1" x14ac:dyDescent="0.2">
      <c r="A17" s="92" t="s">
        <v>41</v>
      </c>
      <c r="B17" s="77"/>
      <c r="C17" s="77"/>
      <c r="D17" s="77"/>
      <c r="E17" s="77"/>
      <c r="F17" s="79"/>
      <c r="G17" s="80"/>
      <c r="H17" s="80"/>
    </row>
    <row r="18" spans="1:8" ht="15" customHeight="1" x14ac:dyDescent="0.2">
      <c r="A18" s="93" t="s">
        <v>43</v>
      </c>
      <c r="B18" s="77"/>
      <c r="C18" s="77"/>
      <c r="D18" s="77"/>
      <c r="E18" s="77"/>
      <c r="F18" s="79"/>
      <c r="G18" s="80"/>
      <c r="H18" s="80"/>
    </row>
    <row r="19" spans="1:8" x14ac:dyDescent="0.2">
      <c r="A19" s="82"/>
      <c r="B19" s="83"/>
      <c r="C19" s="83"/>
      <c r="D19" s="83"/>
      <c r="E19" s="83"/>
      <c r="F19" s="85"/>
      <c r="G19" s="86"/>
      <c r="H19" s="86"/>
    </row>
    <row r="20" spans="1:8" ht="13.5" thickBot="1" x14ac:dyDescent="0.25">
      <c r="A20" s="87" t="s">
        <v>20</v>
      </c>
      <c r="B20" s="88"/>
      <c r="C20" s="88"/>
      <c r="D20" s="88"/>
      <c r="E20" s="88"/>
      <c r="F20" s="90"/>
      <c r="G20" s="91"/>
      <c r="H20" s="91"/>
    </row>
    <row r="21" spans="1:8" ht="13.5" thickTop="1" x14ac:dyDescent="0.2">
      <c r="A21" s="82"/>
      <c r="B21" s="77"/>
      <c r="C21" s="77"/>
      <c r="D21" s="77"/>
      <c r="E21" s="77"/>
      <c r="F21" s="79"/>
      <c r="G21" s="80"/>
      <c r="H21" s="80"/>
    </row>
    <row r="22" spans="1:8" x14ac:dyDescent="0.2">
      <c r="A22" s="82"/>
      <c r="B22" s="77"/>
      <c r="C22" s="77"/>
      <c r="D22" s="77"/>
      <c r="E22" s="77"/>
      <c r="F22" s="79"/>
      <c r="G22" s="80"/>
      <c r="H22" s="80"/>
    </row>
    <row r="23" spans="1:8" x14ac:dyDescent="0.2">
      <c r="A23" s="92" t="s">
        <v>41</v>
      </c>
      <c r="B23" s="77"/>
      <c r="C23" s="77"/>
      <c r="D23" s="77"/>
      <c r="E23" s="77"/>
      <c r="F23" s="79"/>
      <c r="G23" s="80"/>
      <c r="H23" s="80"/>
    </row>
    <row r="24" spans="1:8" x14ac:dyDescent="0.2">
      <c r="A24" s="93" t="s">
        <v>50</v>
      </c>
      <c r="B24" s="77"/>
      <c r="C24" s="77"/>
      <c r="D24" s="77"/>
      <c r="E24" s="77"/>
      <c r="F24" s="79"/>
      <c r="G24" s="80"/>
      <c r="H24" s="80"/>
    </row>
    <row r="25" spans="1:8" x14ac:dyDescent="0.2">
      <c r="A25" s="82"/>
      <c r="B25" s="77"/>
      <c r="C25" s="77"/>
      <c r="D25" s="77"/>
      <c r="E25" s="77"/>
      <c r="F25" s="79"/>
      <c r="G25" s="80"/>
      <c r="H25" s="80"/>
    </row>
    <row r="26" spans="1:8" x14ac:dyDescent="0.2">
      <c r="A26" s="82"/>
      <c r="B26" s="83"/>
      <c r="C26" s="83"/>
      <c r="D26" s="83"/>
      <c r="E26" s="83"/>
      <c r="F26" s="85"/>
      <c r="G26" s="86"/>
      <c r="H26" s="86"/>
    </row>
    <row r="27" spans="1:8" ht="13.5" thickBot="1" x14ac:dyDescent="0.25">
      <c r="A27" s="87" t="s">
        <v>20</v>
      </c>
      <c r="B27" s="88"/>
      <c r="C27" s="88"/>
      <c r="D27" s="88"/>
      <c r="E27" s="88"/>
      <c r="F27" s="90"/>
      <c r="G27" s="91"/>
      <c r="H27" s="91"/>
    </row>
    <row r="28" spans="1:8" ht="13.5" thickTop="1" x14ac:dyDescent="0.2">
      <c r="A28" s="76"/>
      <c r="B28" s="77"/>
      <c r="C28" s="77"/>
      <c r="D28" s="77"/>
      <c r="E28" s="77"/>
      <c r="F28" s="79"/>
      <c r="G28" s="80"/>
      <c r="H28" s="80"/>
    </row>
    <row r="29" spans="1:8" x14ac:dyDescent="0.2">
      <c r="A29" s="82"/>
      <c r="B29" s="77"/>
      <c r="C29" s="77"/>
      <c r="D29" s="77"/>
      <c r="E29" s="77"/>
      <c r="F29" s="79"/>
      <c r="G29" s="80"/>
      <c r="H29" s="80"/>
    </row>
    <row r="30" spans="1:8" x14ac:dyDescent="0.2">
      <c r="A30" s="92" t="s">
        <v>59</v>
      </c>
      <c r="B30" s="77"/>
      <c r="C30" s="77"/>
      <c r="D30" s="77"/>
      <c r="E30" s="77"/>
      <c r="F30" s="79"/>
      <c r="G30" s="80"/>
      <c r="H30" s="80"/>
    </row>
    <row r="31" spans="1:8" x14ac:dyDescent="0.2">
      <c r="A31" s="93" t="s">
        <v>60</v>
      </c>
      <c r="B31" s="77"/>
      <c r="C31" s="77"/>
      <c r="D31" s="77"/>
      <c r="E31" s="77"/>
      <c r="F31" s="79"/>
      <c r="G31" s="80"/>
      <c r="H31" s="80"/>
    </row>
    <row r="32" spans="1:8" x14ac:dyDescent="0.2">
      <c r="A32" s="92"/>
      <c r="B32" s="77"/>
      <c r="C32" s="77"/>
      <c r="D32" s="77"/>
      <c r="E32" s="77"/>
      <c r="F32" s="79"/>
      <c r="G32" s="80"/>
      <c r="H32" s="80"/>
    </row>
    <row r="33" spans="1:8" x14ac:dyDescent="0.2">
      <c r="A33" s="92"/>
      <c r="B33" s="94"/>
      <c r="C33" s="94"/>
      <c r="D33" s="94"/>
      <c r="E33" s="94"/>
      <c r="F33" s="96"/>
      <c r="G33" s="97"/>
      <c r="H33" s="97"/>
    </row>
    <row r="34" spans="1:8" ht="13.5" thickBot="1" x14ac:dyDescent="0.25">
      <c r="A34" s="87" t="s">
        <v>20</v>
      </c>
      <c r="B34" s="88"/>
      <c r="C34" s="88"/>
      <c r="D34" s="88"/>
      <c r="E34" s="88"/>
      <c r="F34" s="90"/>
      <c r="G34" s="91"/>
      <c r="H34" s="91"/>
    </row>
    <row r="35" spans="1:8" ht="13.5" thickTop="1" x14ac:dyDescent="0.2">
      <c r="A35" s="76"/>
      <c r="B35" s="77"/>
      <c r="C35" s="77"/>
      <c r="D35" s="77"/>
      <c r="E35" s="77"/>
      <c r="F35" s="79"/>
      <c r="G35" s="80"/>
      <c r="H35" s="80"/>
    </row>
    <row r="36" spans="1:8" x14ac:dyDescent="0.2">
      <c r="A36" s="98"/>
      <c r="B36" s="99"/>
      <c r="C36" s="77"/>
      <c r="D36" s="77"/>
      <c r="E36" s="77"/>
      <c r="F36" s="79"/>
      <c r="G36" s="80"/>
      <c r="H36" s="80"/>
    </row>
    <row r="37" spans="1:8" x14ac:dyDescent="0.2">
      <c r="A37" s="92" t="s">
        <v>279</v>
      </c>
      <c r="B37" s="77"/>
      <c r="C37" s="77"/>
      <c r="D37" s="77"/>
      <c r="E37" s="77"/>
      <c r="F37" s="79"/>
      <c r="G37" s="80"/>
      <c r="H37" s="80"/>
    </row>
    <row r="38" spans="1:8" x14ac:dyDescent="0.2">
      <c r="A38" s="93" t="s">
        <v>67</v>
      </c>
      <c r="B38" s="77"/>
      <c r="C38" s="77"/>
      <c r="D38" s="77"/>
      <c r="E38" s="77"/>
      <c r="F38" s="79"/>
      <c r="G38" s="80"/>
      <c r="H38" s="80"/>
    </row>
    <row r="39" spans="1:8" x14ac:dyDescent="0.2">
      <c r="A39" s="92"/>
      <c r="B39" s="83"/>
      <c r="C39" s="83"/>
      <c r="D39" s="83"/>
      <c r="E39" s="83"/>
      <c r="F39" s="85"/>
      <c r="G39" s="86"/>
      <c r="H39" s="86"/>
    </row>
    <row r="40" spans="1:8" ht="13.5" thickBot="1" x14ac:dyDescent="0.25">
      <c r="A40" s="87" t="s">
        <v>20</v>
      </c>
      <c r="B40" s="88"/>
      <c r="C40" s="88"/>
      <c r="D40" s="88"/>
      <c r="E40" s="88"/>
      <c r="F40" s="90"/>
      <c r="G40" s="91"/>
      <c r="H40" s="91"/>
    </row>
    <row r="41" spans="1:8" ht="13.5" thickTop="1" x14ac:dyDescent="0.2">
      <c r="A41" s="76"/>
      <c r="B41" s="100"/>
      <c r="C41" s="100"/>
      <c r="D41" s="100"/>
      <c r="E41" s="100"/>
      <c r="F41" s="102"/>
      <c r="G41" s="103"/>
      <c r="H41" s="103"/>
    </row>
    <row r="42" spans="1:8" x14ac:dyDescent="0.2">
      <c r="A42" s="92" t="s">
        <v>71</v>
      </c>
      <c r="B42" s="100"/>
      <c r="C42" s="100"/>
      <c r="D42" s="100"/>
      <c r="E42" s="100"/>
      <c r="F42" s="102"/>
      <c r="G42" s="103"/>
      <c r="H42" s="103"/>
    </row>
    <row r="43" spans="1:8" x14ac:dyDescent="0.2">
      <c r="A43" s="93" t="s">
        <v>72</v>
      </c>
      <c r="B43" s="104"/>
      <c r="C43" s="104"/>
      <c r="D43" s="104"/>
      <c r="E43" s="104"/>
      <c r="F43" s="106"/>
      <c r="G43" s="107"/>
      <c r="H43" s="107"/>
    </row>
    <row r="44" spans="1:8" ht="13.5" thickBot="1" x14ac:dyDescent="0.25">
      <c r="A44" s="87" t="s">
        <v>20</v>
      </c>
      <c r="B44" s="108"/>
      <c r="C44" s="108"/>
      <c r="D44" s="108"/>
      <c r="E44" s="108"/>
      <c r="F44" s="110"/>
      <c r="G44" s="111"/>
      <c r="H44" s="111"/>
    </row>
    <row r="45" spans="1:8" ht="13.5" thickTop="1" x14ac:dyDescent="0.2">
      <c r="A45" s="112" t="s">
        <v>280</v>
      </c>
      <c r="B45" s="113"/>
      <c r="C45" s="113"/>
      <c r="D45" s="113"/>
      <c r="E45" s="113"/>
      <c r="F45" s="113"/>
      <c r="G45" s="113"/>
      <c r="H45" s="113"/>
    </row>
    <row r="46" spans="1:8" x14ac:dyDescent="0.2">
      <c r="A46" s="114" t="s">
        <v>282</v>
      </c>
      <c r="B46" s="113"/>
      <c r="C46" s="113"/>
      <c r="D46" s="113"/>
      <c r="E46" s="113"/>
      <c r="F46" s="113"/>
      <c r="G46" s="113"/>
      <c r="H46" s="113"/>
    </row>
    <row r="47" spans="1:8" x14ac:dyDescent="0.2">
      <c r="A47" s="115"/>
      <c r="B47" s="113"/>
      <c r="C47" s="113"/>
      <c r="D47" s="113"/>
      <c r="E47" s="113"/>
      <c r="F47" s="113"/>
      <c r="G47" s="113"/>
      <c r="H47" s="113"/>
    </row>
    <row r="48" spans="1:8" x14ac:dyDescent="0.2">
      <c r="A48" s="115"/>
      <c r="B48" s="113"/>
      <c r="C48" s="113"/>
      <c r="D48" s="113"/>
      <c r="E48" s="113"/>
      <c r="F48" s="113"/>
      <c r="G48" s="113"/>
      <c r="H48" s="113"/>
    </row>
    <row r="49" spans="1:8" x14ac:dyDescent="0.2">
      <c r="A49" s="115"/>
      <c r="B49" s="113"/>
      <c r="C49" s="113"/>
      <c r="D49" s="113"/>
      <c r="E49" s="113"/>
      <c r="F49" s="113"/>
      <c r="G49" s="113"/>
      <c r="H49" s="113"/>
    </row>
    <row r="50" spans="1:8" x14ac:dyDescent="0.2">
      <c r="A50" s="115"/>
      <c r="B50" s="116"/>
      <c r="C50" s="116"/>
      <c r="D50" s="116"/>
      <c r="E50" s="116"/>
      <c r="F50" s="116"/>
      <c r="G50" s="116"/>
      <c r="H50" s="116"/>
    </row>
    <row r="51" spans="1:8" x14ac:dyDescent="0.2">
      <c r="A51" s="117"/>
      <c r="B51" s="116"/>
      <c r="C51" s="116"/>
      <c r="D51" s="116"/>
      <c r="E51" s="116"/>
      <c r="F51" s="116"/>
      <c r="G51" s="116"/>
      <c r="H51" s="116"/>
    </row>
    <row r="52" spans="1:8" x14ac:dyDescent="0.2">
      <c r="A52" s="117"/>
      <c r="B52" s="116"/>
      <c r="C52" s="116"/>
      <c r="D52" s="116"/>
      <c r="E52" s="116"/>
      <c r="F52" s="116"/>
      <c r="G52" s="116"/>
      <c r="H52" s="116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5"/>
      <c r="B59" s="118"/>
      <c r="C59" s="118"/>
      <c r="D59" s="118"/>
      <c r="E59" s="118"/>
      <c r="F59" s="118"/>
      <c r="G59" s="118"/>
      <c r="H59" s="118"/>
    </row>
    <row r="60" spans="1:8" x14ac:dyDescent="0.2">
      <c r="A60" s="117"/>
      <c r="B60" s="118"/>
      <c r="C60" s="118"/>
      <c r="D60" s="118"/>
      <c r="E60" s="118"/>
      <c r="F60" s="118"/>
      <c r="G60" s="118"/>
      <c r="H60" s="118"/>
    </row>
    <row r="61" spans="1:8" x14ac:dyDescent="0.2">
      <c r="A61" s="117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"/>
      <headerFooter alignWithMargins="0">
        <oddHeader>&amp;C2019.11.18-24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2"/>
      <headerFooter alignWithMargins="0">
        <oddHeader>&amp;C2019.11.18-24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3"/>
      <headerFooter alignWithMargins="0">
        <oddHeader>&amp;C2019.11.18-24</oddHeader>
      </headerFooter>
    </customSheetView>
    <customSheetView guid="{4B58F0A9-071E-4376-B7AD-463366669E19}" scale="80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4"/>
      <headerFooter alignWithMargins="0">
        <oddHeader>&amp;C2019.11.18-24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&amp;C2019.11.18-24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6"/>
      <headerFooter alignWithMargins="0">
        <oddHeader>&amp;C2019.11.18-24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7"/>
      <headerFooter alignWithMargins="0">
        <oddHeader>&amp;C2019.11.18-24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8"/>
      <headerFooter alignWithMargins="0">
        <oddHeader>&amp;C2019.11.18-24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9"/>
      <headerFooter alignWithMargins="0">
        <oddHeader>&amp;C2019.11.18-24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0"/>
      <headerFooter alignWithMargins="0">
        <oddHeader>&amp;C2019.11.18-24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1"/>
      <headerFooter alignWithMargins="0">
        <oddHeader>&amp;C2019.11.18-24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2"/>
      <headerFooter alignWithMargins="0">
        <oddHeader>&amp;C2019.11.18-24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8" scale="95" orientation="landscape" r:id="rId13"/>
  <headerFooter alignWithMargins="0">
    <oddHeader>&amp;C2019.11.18-24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Munka36"/>
  <dimension ref="A1:I140"/>
  <sheetViews>
    <sheetView zoomScale="80" zoomScaleNormal="80" zoomScaleSheetLayoutView="40" workbookViewId="0">
      <pane ySplit="1" topLeftCell="A2" activePane="bottomLeft" state="frozen"/>
      <selection pane="bottomLeft" activeCell="E25" sqref="E25"/>
    </sheetView>
  </sheetViews>
  <sheetFormatPr defaultColWidth="9.140625" defaultRowHeight="12.75" x14ac:dyDescent="0.2"/>
  <cols>
    <col min="1" max="1" width="10.7109375" style="119" customWidth="1"/>
    <col min="2" max="6" width="30.7109375" style="69" customWidth="1"/>
    <col min="7" max="8" width="20.7109375" style="69" customWidth="1"/>
    <col min="9" max="9" width="30.7109375" style="69" customWidth="1"/>
    <col min="10" max="16384" width="9.140625" style="69"/>
  </cols>
  <sheetData>
    <row r="1" spans="1:9" ht="28.5" customHeight="1" thickTop="1" thickBot="1" x14ac:dyDescent="0.25">
      <c r="A1" s="64" t="s">
        <v>1159</v>
      </c>
      <c r="B1" s="65" t="s">
        <v>1160</v>
      </c>
      <c r="C1" s="65" t="s">
        <v>1161</v>
      </c>
      <c r="D1" s="65" t="s">
        <v>1162</v>
      </c>
      <c r="E1" s="65" t="s">
        <v>1163</v>
      </c>
      <c r="F1" s="65" t="s">
        <v>1164</v>
      </c>
      <c r="G1" s="67" t="s">
        <v>1165</v>
      </c>
      <c r="H1" s="67" t="s">
        <v>1166</v>
      </c>
      <c r="I1" s="68"/>
    </row>
    <row r="2" spans="1:9" ht="15" customHeight="1" x14ac:dyDescent="0.2">
      <c r="A2" s="70"/>
      <c r="B2" s="71"/>
      <c r="C2" s="71"/>
      <c r="D2" s="71"/>
      <c r="E2" s="71"/>
      <c r="F2" s="73"/>
      <c r="G2" s="74"/>
      <c r="H2" s="74"/>
      <c r="I2" s="75"/>
    </row>
    <row r="3" spans="1:9" ht="15" customHeight="1" x14ac:dyDescent="0.2">
      <c r="A3" s="76"/>
      <c r="B3" s="77"/>
      <c r="C3" s="77"/>
      <c r="D3" s="77"/>
      <c r="E3" s="77"/>
      <c r="F3" s="79"/>
      <c r="G3" s="80"/>
      <c r="H3" s="80"/>
      <c r="I3" s="75"/>
    </row>
    <row r="4" spans="1:9" ht="15" customHeight="1" x14ac:dyDescent="0.2">
      <c r="A4" s="76" t="s">
        <v>18</v>
      </c>
      <c r="B4" s="77"/>
      <c r="C4" s="77"/>
      <c r="D4" s="77"/>
      <c r="E4" s="77"/>
      <c r="F4" s="79"/>
      <c r="G4" s="80"/>
      <c r="H4" s="80"/>
    </row>
    <row r="5" spans="1:9" ht="15" customHeight="1" x14ac:dyDescent="0.2">
      <c r="A5" s="81" t="s">
        <v>19</v>
      </c>
      <c r="B5" s="77"/>
      <c r="C5" s="77"/>
      <c r="D5" s="77"/>
      <c r="E5" s="77"/>
      <c r="F5" s="79"/>
      <c r="G5" s="80"/>
      <c r="H5" s="80"/>
    </row>
    <row r="6" spans="1:9" ht="15" customHeight="1" x14ac:dyDescent="0.2">
      <c r="A6" s="82"/>
      <c r="B6" s="83"/>
      <c r="C6" s="83"/>
      <c r="D6" s="83"/>
      <c r="E6" s="83"/>
      <c r="F6" s="85"/>
      <c r="G6" s="86"/>
      <c r="H6" s="86"/>
    </row>
    <row r="7" spans="1:9" ht="15" customHeight="1" thickBot="1" x14ac:dyDescent="0.25">
      <c r="A7" s="87" t="s">
        <v>20</v>
      </c>
      <c r="B7" s="88"/>
      <c r="C7" s="88"/>
      <c r="D7" s="88"/>
      <c r="E7" s="88"/>
      <c r="F7" s="90"/>
      <c r="G7" s="91"/>
      <c r="H7" s="91"/>
    </row>
    <row r="8" spans="1:9" ht="15" customHeight="1" thickTop="1" x14ac:dyDescent="0.2">
      <c r="A8" s="82"/>
      <c r="B8" s="77"/>
      <c r="C8" s="77"/>
      <c r="D8" s="77"/>
      <c r="E8" s="77"/>
      <c r="F8" s="79"/>
      <c r="G8" s="80"/>
      <c r="H8" s="80"/>
    </row>
    <row r="9" spans="1:9" ht="15" customHeight="1" x14ac:dyDescent="0.2">
      <c r="A9" s="82"/>
      <c r="B9" s="77"/>
      <c r="C9" s="77"/>
      <c r="D9" s="77"/>
      <c r="E9" s="77"/>
      <c r="F9" s="79"/>
      <c r="G9" s="80"/>
      <c r="H9" s="80"/>
    </row>
    <row r="10" spans="1:9" ht="15" customHeight="1" x14ac:dyDescent="0.2">
      <c r="A10" s="92" t="s">
        <v>18</v>
      </c>
      <c r="B10" s="77"/>
      <c r="C10" s="77"/>
      <c r="D10" s="77"/>
      <c r="E10" s="77"/>
      <c r="F10" s="79"/>
      <c r="G10" s="80"/>
      <c r="H10" s="80"/>
    </row>
    <row r="11" spans="1:9" ht="15" customHeight="1" x14ac:dyDescent="0.2">
      <c r="A11" s="93" t="s">
        <v>30</v>
      </c>
      <c r="B11" s="77"/>
      <c r="C11" s="77"/>
      <c r="D11" s="77"/>
      <c r="E11" s="77"/>
      <c r="F11" s="79"/>
      <c r="G11" s="80"/>
      <c r="H11" s="80"/>
    </row>
    <row r="12" spans="1:9" ht="15" customHeight="1" x14ac:dyDescent="0.2">
      <c r="A12" s="82"/>
      <c r="B12" s="77"/>
      <c r="C12" s="77"/>
      <c r="D12" s="77"/>
      <c r="E12" s="77"/>
      <c r="F12" s="79"/>
      <c r="G12" s="80"/>
      <c r="H12" s="80"/>
    </row>
    <row r="13" spans="1:9" ht="15" customHeight="1" x14ac:dyDescent="0.2">
      <c r="A13" s="82"/>
      <c r="B13" s="83"/>
      <c r="C13" s="83"/>
      <c r="D13" s="83"/>
      <c r="E13" s="83"/>
      <c r="F13" s="85"/>
      <c r="G13" s="86"/>
      <c r="H13" s="86"/>
    </row>
    <row r="14" spans="1:9" ht="15" customHeight="1" thickBot="1" x14ac:dyDescent="0.25">
      <c r="A14" s="87" t="s">
        <v>20</v>
      </c>
      <c r="B14" s="88"/>
      <c r="C14" s="88"/>
      <c r="D14" s="88"/>
      <c r="E14" s="88"/>
      <c r="F14" s="90"/>
      <c r="G14" s="91"/>
      <c r="H14" s="91"/>
    </row>
    <row r="15" spans="1:9" ht="15" customHeight="1" thickTop="1" x14ac:dyDescent="0.2">
      <c r="A15" s="82"/>
      <c r="B15" s="77"/>
      <c r="C15" s="77"/>
      <c r="D15" s="77"/>
      <c r="E15" s="77"/>
      <c r="F15" s="79"/>
      <c r="G15" s="80"/>
      <c r="H15" s="80"/>
    </row>
    <row r="16" spans="1:9" ht="15" customHeight="1" x14ac:dyDescent="0.2">
      <c r="A16" s="82"/>
      <c r="B16" s="77"/>
      <c r="C16" s="77"/>
      <c r="D16" s="77"/>
      <c r="E16" s="77"/>
      <c r="F16" s="79"/>
      <c r="G16" s="80"/>
      <c r="H16" s="80"/>
    </row>
    <row r="17" spans="1:8" ht="15" customHeight="1" x14ac:dyDescent="0.2">
      <c r="A17" s="92" t="s">
        <v>41</v>
      </c>
      <c r="B17" s="77"/>
      <c r="C17" s="77"/>
      <c r="D17" s="77"/>
      <c r="E17" s="77"/>
      <c r="F17" s="79"/>
      <c r="G17" s="80"/>
      <c r="H17" s="80"/>
    </row>
    <row r="18" spans="1:8" ht="15" customHeight="1" x14ac:dyDescent="0.2">
      <c r="A18" s="93" t="s">
        <v>43</v>
      </c>
      <c r="B18" s="77"/>
      <c r="C18" s="77"/>
      <c r="D18" s="77"/>
      <c r="E18" s="77"/>
      <c r="F18" s="79"/>
      <c r="G18" s="80"/>
      <c r="H18" s="80"/>
    </row>
    <row r="19" spans="1:8" x14ac:dyDescent="0.2">
      <c r="A19" s="82"/>
      <c r="B19" s="83"/>
      <c r="C19" s="83"/>
      <c r="D19" s="83"/>
      <c r="E19" s="83"/>
      <c r="F19" s="85"/>
      <c r="G19" s="86"/>
      <c r="H19" s="86"/>
    </row>
    <row r="20" spans="1:8" ht="13.5" thickBot="1" x14ac:dyDescent="0.25">
      <c r="A20" s="87" t="s">
        <v>20</v>
      </c>
      <c r="B20" s="88"/>
      <c r="C20" s="88"/>
      <c r="D20" s="88"/>
      <c r="E20" s="88"/>
      <c r="F20" s="90"/>
      <c r="G20" s="91"/>
      <c r="H20" s="91"/>
    </row>
    <row r="21" spans="1:8" ht="13.5" thickTop="1" x14ac:dyDescent="0.2">
      <c r="A21" s="82"/>
      <c r="B21" s="77"/>
      <c r="C21" s="77"/>
      <c r="D21" s="77"/>
      <c r="E21" s="77"/>
      <c r="F21" s="79"/>
      <c r="G21" s="80"/>
      <c r="H21" s="80"/>
    </row>
    <row r="22" spans="1:8" x14ac:dyDescent="0.2">
      <c r="A22" s="82"/>
      <c r="B22" s="77"/>
      <c r="C22" s="77"/>
      <c r="D22" s="77"/>
      <c r="E22" s="77"/>
      <c r="F22" s="79"/>
      <c r="G22" s="80"/>
      <c r="H22" s="80"/>
    </row>
    <row r="23" spans="1:8" x14ac:dyDescent="0.2">
      <c r="A23" s="92" t="s">
        <v>41</v>
      </c>
      <c r="B23" s="77"/>
      <c r="C23" s="77"/>
      <c r="D23" s="77"/>
      <c r="E23" s="77"/>
      <c r="F23" s="79"/>
      <c r="G23" s="80"/>
      <c r="H23" s="80"/>
    </row>
    <row r="24" spans="1:8" x14ac:dyDescent="0.2">
      <c r="A24" s="93" t="s">
        <v>50</v>
      </c>
      <c r="B24" s="77"/>
      <c r="C24" s="77"/>
      <c r="D24" s="77"/>
      <c r="E24" s="77"/>
      <c r="F24" s="79"/>
      <c r="G24" s="80"/>
      <c r="H24" s="80"/>
    </row>
    <row r="25" spans="1:8" x14ac:dyDescent="0.2">
      <c r="A25" s="82"/>
      <c r="B25" s="77"/>
      <c r="C25" s="77"/>
      <c r="D25" s="77"/>
      <c r="E25" s="77"/>
      <c r="F25" s="79"/>
      <c r="G25" s="80"/>
      <c r="H25" s="80"/>
    </row>
    <row r="26" spans="1:8" x14ac:dyDescent="0.2">
      <c r="A26" s="82"/>
      <c r="B26" s="83"/>
      <c r="C26" s="83"/>
      <c r="D26" s="83"/>
      <c r="E26" s="83"/>
      <c r="F26" s="85"/>
      <c r="G26" s="86"/>
      <c r="H26" s="86"/>
    </row>
    <row r="27" spans="1:8" ht="13.5" thickBot="1" x14ac:dyDescent="0.25">
      <c r="A27" s="87" t="s">
        <v>20</v>
      </c>
      <c r="B27" s="88"/>
      <c r="C27" s="88"/>
      <c r="D27" s="88"/>
      <c r="E27" s="88"/>
      <c r="F27" s="90"/>
      <c r="G27" s="91"/>
      <c r="H27" s="91"/>
    </row>
    <row r="28" spans="1:8" ht="13.5" thickTop="1" x14ac:dyDescent="0.2">
      <c r="A28" s="76"/>
      <c r="B28" s="77"/>
      <c r="C28" s="77"/>
      <c r="D28" s="77"/>
      <c r="E28" s="77"/>
      <c r="F28" s="79"/>
      <c r="G28" s="80"/>
      <c r="H28" s="80"/>
    </row>
    <row r="29" spans="1:8" x14ac:dyDescent="0.2">
      <c r="A29" s="82"/>
      <c r="B29" s="77"/>
      <c r="C29" s="77"/>
      <c r="D29" s="77"/>
      <c r="E29" s="77"/>
      <c r="F29" s="79"/>
      <c r="G29" s="80"/>
      <c r="H29" s="80"/>
    </row>
    <row r="30" spans="1:8" x14ac:dyDescent="0.2">
      <c r="A30" s="92" t="s">
        <v>59</v>
      </c>
      <c r="B30" s="77"/>
      <c r="C30" s="77"/>
      <c r="D30" s="77"/>
      <c r="E30" s="77"/>
      <c r="F30" s="79"/>
      <c r="G30" s="80"/>
      <c r="H30" s="80"/>
    </row>
    <row r="31" spans="1:8" x14ac:dyDescent="0.2">
      <c r="A31" s="93" t="s">
        <v>60</v>
      </c>
      <c r="B31" s="77"/>
      <c r="C31" s="77"/>
      <c r="D31" s="77"/>
      <c r="E31" s="77"/>
      <c r="F31" s="79"/>
      <c r="G31" s="80"/>
      <c r="H31" s="80"/>
    </row>
    <row r="32" spans="1:8" x14ac:dyDescent="0.2">
      <c r="A32" s="92"/>
      <c r="B32" s="77"/>
      <c r="C32" s="77"/>
      <c r="D32" s="77"/>
      <c r="E32" s="77"/>
      <c r="F32" s="79"/>
      <c r="G32" s="80"/>
      <c r="H32" s="80"/>
    </row>
    <row r="33" spans="1:8" x14ac:dyDescent="0.2">
      <c r="A33" s="92"/>
      <c r="B33" s="94"/>
      <c r="C33" s="94"/>
      <c r="D33" s="94"/>
      <c r="E33" s="94"/>
      <c r="F33" s="96"/>
      <c r="G33" s="97"/>
      <c r="H33" s="97"/>
    </row>
    <row r="34" spans="1:8" ht="13.5" thickBot="1" x14ac:dyDescent="0.25">
      <c r="A34" s="87" t="s">
        <v>20</v>
      </c>
      <c r="B34" s="88"/>
      <c r="C34" s="88"/>
      <c r="D34" s="88"/>
      <c r="E34" s="88"/>
      <c r="F34" s="90"/>
      <c r="G34" s="91"/>
      <c r="H34" s="91"/>
    </row>
    <row r="35" spans="1:8" ht="13.5" thickTop="1" x14ac:dyDescent="0.2">
      <c r="A35" s="76"/>
      <c r="B35" s="77"/>
      <c r="C35" s="77"/>
      <c r="D35" s="77"/>
      <c r="E35" s="77"/>
      <c r="F35" s="79"/>
      <c r="G35" s="80"/>
      <c r="H35" s="80"/>
    </row>
    <row r="36" spans="1:8" x14ac:dyDescent="0.2">
      <c r="A36" s="98"/>
      <c r="B36" s="99"/>
      <c r="C36" s="77"/>
      <c r="D36" s="77"/>
      <c r="E36" s="77"/>
      <c r="F36" s="79"/>
      <c r="G36" s="80"/>
      <c r="H36" s="80"/>
    </row>
    <row r="37" spans="1:8" x14ac:dyDescent="0.2">
      <c r="A37" s="92" t="s">
        <v>279</v>
      </c>
      <c r="B37" s="77"/>
      <c r="C37" s="77"/>
      <c r="D37" s="77"/>
      <c r="E37" s="77"/>
      <c r="F37" s="79"/>
      <c r="G37" s="80"/>
      <c r="H37" s="80"/>
    </row>
    <row r="38" spans="1:8" x14ac:dyDescent="0.2">
      <c r="A38" s="93" t="s">
        <v>67</v>
      </c>
      <c r="B38" s="77"/>
      <c r="C38" s="77"/>
      <c r="D38" s="77"/>
      <c r="E38" s="77"/>
      <c r="F38" s="79"/>
      <c r="G38" s="80"/>
      <c r="H38" s="80"/>
    </row>
    <row r="39" spans="1:8" x14ac:dyDescent="0.2">
      <c r="A39" s="92"/>
      <c r="B39" s="83"/>
      <c r="C39" s="83"/>
      <c r="D39" s="83"/>
      <c r="E39" s="83"/>
      <c r="F39" s="85"/>
      <c r="G39" s="86"/>
      <c r="H39" s="86"/>
    </row>
    <row r="40" spans="1:8" ht="13.5" thickBot="1" x14ac:dyDescent="0.25">
      <c r="A40" s="87" t="s">
        <v>20</v>
      </c>
      <c r="B40" s="88"/>
      <c r="C40" s="88"/>
      <c r="D40" s="88"/>
      <c r="E40" s="88"/>
      <c r="F40" s="90"/>
      <c r="G40" s="91"/>
      <c r="H40" s="91"/>
    </row>
    <row r="41" spans="1:8" ht="13.5" thickTop="1" x14ac:dyDescent="0.2">
      <c r="A41" s="76"/>
      <c r="B41" s="100"/>
      <c r="C41" s="100"/>
      <c r="D41" s="100"/>
      <c r="E41" s="100"/>
      <c r="F41" s="102"/>
      <c r="G41" s="103"/>
      <c r="H41" s="103"/>
    </row>
    <row r="42" spans="1:8" x14ac:dyDescent="0.2">
      <c r="A42" s="92" t="s">
        <v>71</v>
      </c>
      <c r="B42" s="100"/>
      <c r="C42" s="100"/>
      <c r="D42" s="100"/>
      <c r="E42" s="100"/>
      <c r="F42" s="102"/>
      <c r="G42" s="103"/>
      <c r="H42" s="103"/>
    </row>
    <row r="43" spans="1:8" x14ac:dyDescent="0.2">
      <c r="A43" s="93" t="s">
        <v>72</v>
      </c>
      <c r="B43" s="104"/>
      <c r="C43" s="104"/>
      <c r="D43" s="104"/>
      <c r="E43" s="104"/>
      <c r="F43" s="106"/>
      <c r="G43" s="107"/>
      <c r="H43" s="107"/>
    </row>
    <row r="44" spans="1:8" ht="13.5" thickBot="1" x14ac:dyDescent="0.25">
      <c r="A44" s="87" t="s">
        <v>20</v>
      </c>
      <c r="B44" s="108"/>
      <c r="C44" s="108"/>
      <c r="D44" s="108"/>
      <c r="E44" s="108"/>
      <c r="F44" s="110"/>
      <c r="G44" s="111"/>
      <c r="H44" s="111"/>
    </row>
    <row r="45" spans="1:8" ht="13.5" thickTop="1" x14ac:dyDescent="0.2">
      <c r="A45" s="112" t="s">
        <v>280</v>
      </c>
      <c r="B45" s="113"/>
      <c r="C45" s="113"/>
      <c r="D45" s="113"/>
      <c r="E45" s="113"/>
      <c r="F45" s="113"/>
      <c r="G45" s="113"/>
      <c r="H45" s="113"/>
    </row>
    <row r="46" spans="1:8" x14ac:dyDescent="0.2">
      <c r="A46" s="114" t="s">
        <v>282</v>
      </c>
      <c r="B46" s="113"/>
      <c r="C46" s="113"/>
      <c r="D46" s="113"/>
      <c r="E46" s="113"/>
      <c r="F46" s="113"/>
      <c r="G46" s="113"/>
      <c r="H46" s="113"/>
    </row>
    <row r="47" spans="1:8" x14ac:dyDescent="0.2">
      <c r="A47" s="115"/>
      <c r="B47" s="113"/>
      <c r="C47" s="113"/>
      <c r="D47" s="113"/>
      <c r="E47" s="113"/>
      <c r="F47" s="113"/>
      <c r="G47" s="113"/>
      <c r="H47" s="113"/>
    </row>
    <row r="48" spans="1:8" x14ac:dyDescent="0.2">
      <c r="A48" s="115"/>
      <c r="B48" s="113"/>
      <c r="C48" s="113"/>
      <c r="D48" s="113"/>
      <c r="E48" s="113"/>
      <c r="F48" s="113"/>
      <c r="G48" s="113"/>
      <c r="H48" s="113"/>
    </row>
    <row r="49" spans="1:8" x14ac:dyDescent="0.2">
      <c r="A49" s="115"/>
      <c r="B49" s="113"/>
      <c r="C49" s="113"/>
      <c r="D49" s="113"/>
      <c r="E49" s="113"/>
      <c r="F49" s="113"/>
      <c r="G49" s="113"/>
      <c r="H49" s="113"/>
    </row>
    <row r="50" spans="1:8" x14ac:dyDescent="0.2">
      <c r="A50" s="115"/>
      <c r="B50" s="116"/>
      <c r="C50" s="116"/>
      <c r="D50" s="116"/>
      <c r="E50" s="116"/>
      <c r="F50" s="116"/>
      <c r="G50" s="116"/>
      <c r="H50" s="116"/>
    </row>
    <row r="51" spans="1:8" x14ac:dyDescent="0.2">
      <c r="A51" s="117"/>
      <c r="B51" s="116"/>
      <c r="C51" s="116"/>
      <c r="D51" s="116"/>
      <c r="E51" s="116"/>
      <c r="F51" s="116"/>
      <c r="G51" s="116"/>
      <c r="H51" s="116"/>
    </row>
    <row r="52" spans="1:8" x14ac:dyDescent="0.2">
      <c r="A52" s="117"/>
      <c r="B52" s="116"/>
      <c r="C52" s="116"/>
      <c r="D52" s="116"/>
      <c r="E52" s="116"/>
      <c r="F52" s="116"/>
      <c r="G52" s="116"/>
      <c r="H52" s="116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5"/>
      <c r="B59" s="118"/>
      <c r="C59" s="118"/>
      <c r="D59" s="118"/>
      <c r="E59" s="118"/>
      <c r="F59" s="118"/>
      <c r="G59" s="118"/>
      <c r="H59" s="118"/>
    </row>
    <row r="60" spans="1:8" x14ac:dyDescent="0.2">
      <c r="A60" s="117"/>
      <c r="B60" s="118"/>
      <c r="C60" s="118"/>
      <c r="D60" s="118"/>
      <c r="E60" s="118"/>
      <c r="F60" s="118"/>
      <c r="G60" s="118"/>
      <c r="H60" s="118"/>
    </row>
    <row r="61" spans="1:8" x14ac:dyDescent="0.2">
      <c r="A61" s="117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"/>
      <headerFooter alignWithMargins="0">
        <oddHeader>&amp;C2019.11.25-12.01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2"/>
      <headerFooter alignWithMargins="0">
        <oddHeader>&amp;C2019.11.25-12.01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3"/>
      <headerFooter alignWithMargins="0">
        <oddHeader>&amp;C2019.11.25-12.01</oddHeader>
      </headerFooter>
    </customSheetView>
    <customSheetView guid="{4B58F0A9-071E-4376-B7AD-463366669E19}" scale="80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4"/>
      <headerFooter alignWithMargins="0">
        <oddHeader>&amp;C2019.11.25-12.01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&amp;C2019.11.25-12.01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6"/>
      <headerFooter alignWithMargins="0">
        <oddHeader>&amp;C2019.11.25-12.01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7"/>
      <headerFooter alignWithMargins="0">
        <oddHeader>&amp;C2019.11.25-12.01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8"/>
      <headerFooter alignWithMargins="0">
        <oddHeader>&amp;C2019.11.25-12.01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9"/>
      <headerFooter alignWithMargins="0">
        <oddHeader>&amp;C2019.11.25-12.01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0"/>
      <headerFooter alignWithMargins="0">
        <oddHeader>&amp;C2019.11.25-12.01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1"/>
      <headerFooter alignWithMargins="0">
        <oddHeader>&amp;C2019.11.25-12.01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2"/>
      <headerFooter alignWithMargins="0">
        <oddHeader>&amp;C2019.11.25-12.01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8" scale="95" orientation="landscape" r:id="rId13"/>
  <headerFooter alignWithMargins="0">
    <oddHeader>&amp;C2019.11.25-12.01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Munka37"/>
  <dimension ref="A1:I140"/>
  <sheetViews>
    <sheetView zoomScale="80" zoomScaleNormal="80" zoomScaleSheetLayoutView="40" workbookViewId="0">
      <pane ySplit="1" topLeftCell="A2" activePane="bottomLeft" state="frozen"/>
      <selection pane="bottomLeft" activeCell="E25" sqref="E25"/>
    </sheetView>
  </sheetViews>
  <sheetFormatPr defaultColWidth="9.140625" defaultRowHeight="12.75" x14ac:dyDescent="0.2"/>
  <cols>
    <col min="1" max="1" width="10.7109375" style="119" customWidth="1"/>
    <col min="2" max="6" width="30.7109375" style="69" customWidth="1"/>
    <col min="7" max="8" width="20.7109375" style="69" customWidth="1"/>
    <col min="9" max="9" width="30.7109375" style="69" customWidth="1"/>
    <col min="10" max="16384" width="9.140625" style="69"/>
  </cols>
  <sheetData>
    <row r="1" spans="1:9" ht="28.5" customHeight="1" thickTop="1" thickBot="1" x14ac:dyDescent="0.25">
      <c r="A1" s="64" t="s">
        <v>1167</v>
      </c>
      <c r="B1" s="65" t="s">
        <v>1168</v>
      </c>
      <c r="C1" s="65" t="s">
        <v>1169</v>
      </c>
      <c r="D1" s="65" t="s">
        <v>1170</v>
      </c>
      <c r="E1" s="65" t="s">
        <v>1171</v>
      </c>
      <c r="F1" s="65" t="s">
        <v>1172</v>
      </c>
      <c r="G1" s="65" t="s">
        <v>1173</v>
      </c>
      <c r="H1" s="67" t="s">
        <v>1174</v>
      </c>
      <c r="I1" s="68"/>
    </row>
    <row r="2" spans="1:9" ht="15" customHeight="1" x14ac:dyDescent="0.2">
      <c r="A2" s="70"/>
      <c r="B2" s="71"/>
      <c r="C2" s="71"/>
      <c r="D2" s="71"/>
      <c r="E2" s="71"/>
      <c r="F2" s="73"/>
      <c r="G2" s="71"/>
      <c r="H2" s="74"/>
      <c r="I2" s="75"/>
    </row>
    <row r="3" spans="1:9" ht="15" customHeight="1" x14ac:dyDescent="0.2">
      <c r="A3" s="76"/>
      <c r="B3" s="77"/>
      <c r="C3" s="77"/>
      <c r="D3" s="77"/>
      <c r="E3" s="77"/>
      <c r="F3" s="79"/>
      <c r="G3" s="77"/>
      <c r="H3" s="80"/>
      <c r="I3" s="75"/>
    </row>
    <row r="4" spans="1:9" ht="15" customHeight="1" x14ac:dyDescent="0.2">
      <c r="A4" s="76" t="s">
        <v>18</v>
      </c>
      <c r="B4" s="77"/>
      <c r="C4" s="77"/>
      <c r="D4" s="77"/>
      <c r="E4" s="77"/>
      <c r="F4" s="79"/>
      <c r="G4" s="77"/>
      <c r="H4" s="80"/>
    </row>
    <row r="5" spans="1:9" ht="15" customHeight="1" x14ac:dyDescent="0.2">
      <c r="A5" s="81" t="s">
        <v>19</v>
      </c>
      <c r="B5" s="77"/>
      <c r="C5" s="77"/>
      <c r="D5" s="77"/>
      <c r="E5" s="77"/>
      <c r="F5" s="79"/>
      <c r="G5" s="77"/>
      <c r="H5" s="80"/>
    </row>
    <row r="6" spans="1:9" ht="15" customHeight="1" x14ac:dyDescent="0.2">
      <c r="A6" s="82"/>
      <c r="B6" s="83"/>
      <c r="C6" s="83"/>
      <c r="D6" s="83"/>
      <c r="E6" s="83"/>
      <c r="F6" s="85"/>
      <c r="G6" s="83"/>
      <c r="H6" s="86"/>
    </row>
    <row r="7" spans="1:9" ht="15" customHeight="1" thickBot="1" x14ac:dyDescent="0.25">
      <c r="A7" s="87" t="s">
        <v>20</v>
      </c>
      <c r="B7" s="88"/>
      <c r="C7" s="88"/>
      <c r="D7" s="88"/>
      <c r="E7" s="88"/>
      <c r="F7" s="90"/>
      <c r="G7" s="88"/>
      <c r="H7" s="91"/>
    </row>
    <row r="8" spans="1:9" ht="15" customHeight="1" thickTop="1" x14ac:dyDescent="0.2">
      <c r="A8" s="82"/>
      <c r="B8" s="77"/>
      <c r="C8" s="77"/>
      <c r="D8" s="77"/>
      <c r="E8" s="77"/>
      <c r="F8" s="79"/>
      <c r="G8" s="77"/>
      <c r="H8" s="80"/>
    </row>
    <row r="9" spans="1:9" ht="15" customHeight="1" x14ac:dyDescent="0.2">
      <c r="A9" s="82"/>
      <c r="B9" s="77"/>
      <c r="C9" s="77"/>
      <c r="D9" s="77"/>
      <c r="E9" s="77"/>
      <c r="F9" s="79"/>
      <c r="G9" s="77"/>
      <c r="H9" s="80"/>
    </row>
    <row r="10" spans="1:9" ht="15" customHeight="1" x14ac:dyDescent="0.2">
      <c r="A10" s="92" t="s">
        <v>18</v>
      </c>
      <c r="B10" s="77"/>
      <c r="C10" s="77"/>
      <c r="D10" s="77"/>
      <c r="E10" s="77"/>
      <c r="F10" s="79"/>
      <c r="G10" s="77"/>
      <c r="H10" s="80"/>
    </row>
    <row r="11" spans="1:9" ht="15" customHeight="1" x14ac:dyDescent="0.2">
      <c r="A11" s="93" t="s">
        <v>30</v>
      </c>
      <c r="B11" s="77"/>
      <c r="C11" s="77"/>
      <c r="D11" s="77"/>
      <c r="E11" s="77"/>
      <c r="F11" s="79"/>
      <c r="G11" s="77"/>
      <c r="H11" s="80"/>
    </row>
    <row r="12" spans="1:9" ht="15" customHeight="1" x14ac:dyDescent="0.2">
      <c r="A12" s="82"/>
      <c r="B12" s="77"/>
      <c r="C12" s="77"/>
      <c r="D12" s="77"/>
      <c r="E12" s="77"/>
      <c r="F12" s="79"/>
      <c r="G12" s="77"/>
      <c r="H12" s="80"/>
    </row>
    <row r="13" spans="1:9" ht="15" customHeight="1" x14ac:dyDescent="0.2">
      <c r="A13" s="82"/>
      <c r="B13" s="83"/>
      <c r="C13" s="83"/>
      <c r="D13" s="83"/>
      <c r="E13" s="83"/>
      <c r="F13" s="85"/>
      <c r="G13" s="83"/>
      <c r="H13" s="86"/>
    </row>
    <row r="14" spans="1:9" ht="15" customHeight="1" thickBot="1" x14ac:dyDescent="0.25">
      <c r="A14" s="87" t="s">
        <v>20</v>
      </c>
      <c r="B14" s="88"/>
      <c r="C14" s="88"/>
      <c r="D14" s="88"/>
      <c r="E14" s="88"/>
      <c r="F14" s="90"/>
      <c r="G14" s="88"/>
      <c r="H14" s="91"/>
    </row>
    <row r="15" spans="1:9" ht="15" customHeight="1" thickTop="1" x14ac:dyDescent="0.2">
      <c r="A15" s="82"/>
      <c r="B15" s="77"/>
      <c r="C15" s="77"/>
      <c r="D15" s="77"/>
      <c r="E15" s="77"/>
      <c r="F15" s="79"/>
      <c r="G15" s="77"/>
      <c r="H15" s="80"/>
    </row>
    <row r="16" spans="1:9" ht="15" customHeight="1" x14ac:dyDescent="0.2">
      <c r="A16" s="82"/>
      <c r="B16" s="77"/>
      <c r="C16" s="77"/>
      <c r="D16" s="77"/>
      <c r="E16" s="77"/>
      <c r="F16" s="79"/>
      <c r="G16" s="77"/>
      <c r="H16" s="80"/>
    </row>
    <row r="17" spans="1:8" ht="15" customHeight="1" x14ac:dyDescent="0.2">
      <c r="A17" s="92" t="s">
        <v>41</v>
      </c>
      <c r="B17" s="77"/>
      <c r="C17" s="77"/>
      <c r="D17" s="77"/>
      <c r="E17" s="77"/>
      <c r="F17" s="79"/>
      <c r="G17" s="77"/>
      <c r="H17" s="80"/>
    </row>
    <row r="18" spans="1:8" ht="15" customHeight="1" x14ac:dyDescent="0.2">
      <c r="A18" s="93" t="s">
        <v>43</v>
      </c>
      <c r="B18" s="77"/>
      <c r="C18" s="77"/>
      <c r="D18" s="77"/>
      <c r="E18" s="77"/>
      <c r="F18" s="79"/>
      <c r="G18" s="77"/>
      <c r="H18" s="80"/>
    </row>
    <row r="19" spans="1:8" x14ac:dyDescent="0.2">
      <c r="A19" s="82"/>
      <c r="B19" s="83"/>
      <c r="C19" s="83"/>
      <c r="D19" s="83"/>
      <c r="E19" s="83"/>
      <c r="F19" s="85"/>
      <c r="G19" s="83"/>
      <c r="H19" s="86"/>
    </row>
    <row r="20" spans="1:8" ht="13.5" thickBot="1" x14ac:dyDescent="0.25">
      <c r="A20" s="87" t="s">
        <v>20</v>
      </c>
      <c r="B20" s="88"/>
      <c r="C20" s="88"/>
      <c r="D20" s="88"/>
      <c r="E20" s="88"/>
      <c r="F20" s="90"/>
      <c r="G20" s="88"/>
      <c r="H20" s="91"/>
    </row>
    <row r="21" spans="1:8" ht="13.5" thickTop="1" x14ac:dyDescent="0.2">
      <c r="A21" s="82"/>
      <c r="B21" s="77"/>
      <c r="C21" s="77"/>
      <c r="D21" s="77"/>
      <c r="E21" s="77"/>
      <c r="F21" s="79"/>
      <c r="G21" s="77"/>
      <c r="H21" s="80"/>
    </row>
    <row r="22" spans="1:8" x14ac:dyDescent="0.2">
      <c r="A22" s="82"/>
      <c r="B22" s="77"/>
      <c r="C22" s="77"/>
      <c r="D22" s="77"/>
      <c r="E22" s="77"/>
      <c r="F22" s="79"/>
      <c r="G22" s="77"/>
      <c r="H22" s="80"/>
    </row>
    <row r="23" spans="1:8" x14ac:dyDescent="0.2">
      <c r="A23" s="92" t="s">
        <v>41</v>
      </c>
      <c r="B23" s="77"/>
      <c r="C23" s="77"/>
      <c r="D23" s="77"/>
      <c r="E23" s="77"/>
      <c r="F23" s="79"/>
      <c r="G23" s="77"/>
      <c r="H23" s="80"/>
    </row>
    <row r="24" spans="1:8" x14ac:dyDescent="0.2">
      <c r="A24" s="93" t="s">
        <v>50</v>
      </c>
      <c r="B24" s="77"/>
      <c r="C24" s="77"/>
      <c r="D24" s="77"/>
      <c r="E24" s="77"/>
      <c r="F24" s="79"/>
      <c r="G24" s="77"/>
      <c r="H24" s="80"/>
    </row>
    <row r="25" spans="1:8" x14ac:dyDescent="0.2">
      <c r="A25" s="82"/>
      <c r="B25" s="77"/>
      <c r="C25" s="77"/>
      <c r="D25" s="77"/>
      <c r="E25" s="77"/>
      <c r="F25" s="79"/>
      <c r="G25" s="77"/>
      <c r="H25" s="80"/>
    </row>
    <row r="26" spans="1:8" x14ac:dyDescent="0.2">
      <c r="A26" s="82"/>
      <c r="B26" s="83"/>
      <c r="C26" s="83"/>
      <c r="D26" s="83"/>
      <c r="E26" s="83"/>
      <c r="F26" s="85"/>
      <c r="G26" s="83"/>
      <c r="H26" s="86"/>
    </row>
    <row r="27" spans="1:8" ht="13.5" thickBot="1" x14ac:dyDescent="0.25">
      <c r="A27" s="87" t="s">
        <v>20</v>
      </c>
      <c r="B27" s="88"/>
      <c r="C27" s="88"/>
      <c r="D27" s="88"/>
      <c r="E27" s="88"/>
      <c r="F27" s="90"/>
      <c r="G27" s="88"/>
      <c r="H27" s="91"/>
    </row>
    <row r="28" spans="1:8" ht="13.5" thickTop="1" x14ac:dyDescent="0.2">
      <c r="A28" s="76"/>
      <c r="B28" s="77"/>
      <c r="C28" s="77"/>
      <c r="D28" s="77"/>
      <c r="E28" s="77"/>
      <c r="F28" s="79"/>
      <c r="G28" s="77"/>
      <c r="H28" s="80"/>
    </row>
    <row r="29" spans="1:8" x14ac:dyDescent="0.2">
      <c r="A29" s="82"/>
      <c r="B29" s="77"/>
      <c r="C29" s="77"/>
      <c r="D29" s="77"/>
      <c r="E29" s="77"/>
      <c r="F29" s="79"/>
      <c r="G29" s="77"/>
      <c r="H29" s="80"/>
    </row>
    <row r="30" spans="1:8" x14ac:dyDescent="0.2">
      <c r="A30" s="92" t="s">
        <v>59</v>
      </c>
      <c r="B30" s="77"/>
      <c r="C30" s="77"/>
      <c r="D30" s="77"/>
      <c r="E30" s="77"/>
      <c r="F30" s="79"/>
      <c r="G30" s="77"/>
      <c r="H30" s="80"/>
    </row>
    <row r="31" spans="1:8" x14ac:dyDescent="0.2">
      <c r="A31" s="93" t="s">
        <v>60</v>
      </c>
      <c r="B31" s="77"/>
      <c r="C31" s="77"/>
      <c r="D31" s="77"/>
      <c r="E31" s="77"/>
      <c r="F31" s="79"/>
      <c r="G31" s="77"/>
      <c r="H31" s="80"/>
    </row>
    <row r="32" spans="1:8" x14ac:dyDescent="0.2">
      <c r="A32" s="92"/>
      <c r="B32" s="77"/>
      <c r="C32" s="77"/>
      <c r="D32" s="77"/>
      <c r="E32" s="77"/>
      <c r="F32" s="79"/>
      <c r="G32" s="77"/>
      <c r="H32" s="80"/>
    </row>
    <row r="33" spans="1:8" x14ac:dyDescent="0.2">
      <c r="A33" s="92"/>
      <c r="B33" s="94"/>
      <c r="C33" s="94"/>
      <c r="D33" s="94"/>
      <c r="E33" s="94"/>
      <c r="F33" s="96"/>
      <c r="G33" s="94"/>
      <c r="H33" s="97"/>
    </row>
    <row r="34" spans="1:8" ht="13.5" thickBot="1" x14ac:dyDescent="0.25">
      <c r="A34" s="87" t="s">
        <v>20</v>
      </c>
      <c r="B34" s="88"/>
      <c r="C34" s="88"/>
      <c r="D34" s="88"/>
      <c r="E34" s="88"/>
      <c r="F34" s="90"/>
      <c r="G34" s="88"/>
      <c r="H34" s="91"/>
    </row>
    <row r="35" spans="1:8" ht="13.5" thickTop="1" x14ac:dyDescent="0.2">
      <c r="A35" s="76"/>
      <c r="B35" s="77"/>
      <c r="C35" s="77"/>
      <c r="D35" s="77"/>
      <c r="E35" s="77"/>
      <c r="F35" s="79"/>
      <c r="G35" s="77"/>
      <c r="H35" s="80"/>
    </row>
    <row r="36" spans="1:8" x14ac:dyDescent="0.2">
      <c r="A36" s="98"/>
      <c r="B36" s="99"/>
      <c r="C36" s="77"/>
      <c r="D36" s="77"/>
      <c r="E36" s="77"/>
      <c r="F36" s="79"/>
      <c r="G36" s="77"/>
      <c r="H36" s="80"/>
    </row>
    <row r="37" spans="1:8" x14ac:dyDescent="0.2">
      <c r="A37" s="92" t="s">
        <v>279</v>
      </c>
      <c r="B37" s="77"/>
      <c r="C37" s="77"/>
      <c r="D37" s="77"/>
      <c r="E37" s="77"/>
      <c r="F37" s="79"/>
      <c r="G37" s="77"/>
      <c r="H37" s="80"/>
    </row>
    <row r="38" spans="1:8" x14ac:dyDescent="0.2">
      <c r="A38" s="93" t="s">
        <v>67</v>
      </c>
      <c r="B38" s="77"/>
      <c r="C38" s="77"/>
      <c r="D38" s="77"/>
      <c r="E38" s="77"/>
      <c r="F38" s="79"/>
      <c r="G38" s="77"/>
      <c r="H38" s="80"/>
    </row>
    <row r="39" spans="1:8" x14ac:dyDescent="0.2">
      <c r="A39" s="92"/>
      <c r="B39" s="83"/>
      <c r="C39" s="83"/>
      <c r="D39" s="83"/>
      <c r="E39" s="83"/>
      <c r="F39" s="85"/>
      <c r="G39" s="83"/>
      <c r="H39" s="86"/>
    </row>
    <row r="40" spans="1:8" ht="13.5" thickBot="1" x14ac:dyDescent="0.25">
      <c r="A40" s="87" t="s">
        <v>20</v>
      </c>
      <c r="B40" s="88"/>
      <c r="C40" s="88"/>
      <c r="D40" s="88"/>
      <c r="E40" s="88"/>
      <c r="F40" s="90"/>
      <c r="G40" s="88"/>
      <c r="H40" s="91"/>
    </row>
    <row r="41" spans="1:8" ht="13.5" thickTop="1" x14ac:dyDescent="0.2">
      <c r="A41" s="76"/>
      <c r="B41" s="100"/>
      <c r="C41" s="100"/>
      <c r="D41" s="100"/>
      <c r="E41" s="100"/>
      <c r="F41" s="102"/>
      <c r="G41" s="100"/>
      <c r="H41" s="103"/>
    </row>
    <row r="42" spans="1:8" x14ac:dyDescent="0.2">
      <c r="A42" s="92" t="s">
        <v>71</v>
      </c>
      <c r="B42" s="100"/>
      <c r="C42" s="100"/>
      <c r="D42" s="100"/>
      <c r="E42" s="100"/>
      <c r="F42" s="102"/>
      <c r="G42" s="100"/>
      <c r="H42" s="103"/>
    </row>
    <row r="43" spans="1:8" x14ac:dyDescent="0.2">
      <c r="A43" s="93" t="s">
        <v>72</v>
      </c>
      <c r="B43" s="104"/>
      <c r="C43" s="104"/>
      <c r="D43" s="104"/>
      <c r="E43" s="104"/>
      <c r="F43" s="106"/>
      <c r="G43" s="104"/>
      <c r="H43" s="107"/>
    </row>
    <row r="44" spans="1:8" ht="13.5" thickBot="1" x14ac:dyDescent="0.25">
      <c r="A44" s="87" t="s">
        <v>20</v>
      </c>
      <c r="B44" s="108"/>
      <c r="C44" s="108"/>
      <c r="D44" s="108"/>
      <c r="E44" s="108"/>
      <c r="F44" s="110"/>
      <c r="G44" s="108"/>
      <c r="H44" s="111"/>
    </row>
    <row r="45" spans="1:8" ht="13.5" thickTop="1" x14ac:dyDescent="0.2">
      <c r="A45" s="112" t="s">
        <v>280</v>
      </c>
      <c r="B45" s="113"/>
      <c r="C45" s="113"/>
      <c r="D45" s="113"/>
      <c r="E45" s="113"/>
      <c r="F45" s="113"/>
      <c r="G45" s="113"/>
      <c r="H45" s="113"/>
    </row>
    <row r="46" spans="1:8" x14ac:dyDescent="0.2">
      <c r="A46" s="114" t="s">
        <v>282</v>
      </c>
      <c r="B46" s="113"/>
      <c r="C46" s="113"/>
      <c r="D46" s="113"/>
      <c r="E46" s="113"/>
      <c r="F46" s="113"/>
      <c r="G46" s="113"/>
      <c r="H46" s="113"/>
    </row>
    <row r="47" spans="1:8" x14ac:dyDescent="0.2">
      <c r="A47" s="115"/>
      <c r="B47" s="113"/>
      <c r="C47" s="113"/>
      <c r="D47" s="113"/>
      <c r="E47" s="113"/>
      <c r="F47" s="113"/>
      <c r="G47" s="113"/>
      <c r="H47" s="113"/>
    </row>
    <row r="48" spans="1:8" x14ac:dyDescent="0.2">
      <c r="A48" s="115"/>
      <c r="B48" s="113"/>
      <c r="C48" s="113"/>
      <c r="D48" s="113"/>
      <c r="E48" s="113"/>
      <c r="F48" s="113"/>
      <c r="G48" s="113"/>
      <c r="H48" s="113"/>
    </row>
    <row r="49" spans="1:8" x14ac:dyDescent="0.2">
      <c r="A49" s="115"/>
      <c r="B49" s="113"/>
      <c r="C49" s="113"/>
      <c r="D49" s="113"/>
      <c r="E49" s="113"/>
      <c r="F49" s="113"/>
      <c r="G49" s="113"/>
      <c r="H49" s="113"/>
    </row>
    <row r="50" spans="1:8" x14ac:dyDescent="0.2">
      <c r="A50" s="115"/>
      <c r="B50" s="116"/>
      <c r="C50" s="116"/>
      <c r="D50" s="116"/>
      <c r="E50" s="116"/>
      <c r="F50" s="116"/>
      <c r="G50" s="116"/>
      <c r="H50" s="116"/>
    </row>
    <row r="51" spans="1:8" x14ac:dyDescent="0.2">
      <c r="A51" s="117"/>
      <c r="B51" s="116"/>
      <c r="C51" s="116"/>
      <c r="D51" s="116"/>
      <c r="E51" s="116"/>
      <c r="F51" s="116"/>
      <c r="G51" s="116"/>
      <c r="H51" s="116"/>
    </row>
    <row r="52" spans="1:8" x14ac:dyDescent="0.2">
      <c r="A52" s="117"/>
      <c r="B52" s="116"/>
      <c r="C52" s="116"/>
      <c r="D52" s="116"/>
      <c r="E52" s="116"/>
      <c r="F52" s="116"/>
      <c r="G52" s="116"/>
      <c r="H52" s="116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5"/>
      <c r="B59" s="118"/>
      <c r="C59" s="118"/>
      <c r="D59" s="118"/>
      <c r="E59" s="118"/>
      <c r="F59" s="118"/>
      <c r="G59" s="118"/>
      <c r="H59" s="118"/>
    </row>
    <row r="60" spans="1:8" x14ac:dyDescent="0.2">
      <c r="A60" s="117"/>
      <c r="B60" s="118"/>
      <c r="C60" s="118"/>
      <c r="D60" s="118"/>
      <c r="E60" s="118"/>
      <c r="F60" s="118"/>
      <c r="G60" s="118"/>
      <c r="H60" s="118"/>
    </row>
    <row r="61" spans="1:8" x14ac:dyDescent="0.2">
      <c r="A61" s="117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"/>
      <headerFooter alignWithMargins="0">
        <oddHeader>&amp;C2019.12.02-08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2"/>
      <headerFooter alignWithMargins="0">
        <oddHeader>&amp;C2019.12.02-08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3"/>
      <headerFooter alignWithMargins="0">
        <oddHeader>&amp;C2019.12.02-08</oddHeader>
      </headerFooter>
    </customSheetView>
    <customSheetView guid="{4B58F0A9-071E-4376-B7AD-463366669E19}" scale="80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4"/>
      <headerFooter alignWithMargins="0">
        <oddHeader>&amp;C2019.12.02-08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&amp;C2019.12.02-08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6"/>
      <headerFooter alignWithMargins="0">
        <oddHeader>&amp;C2019.12.02-08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7"/>
      <headerFooter alignWithMargins="0">
        <oddHeader>&amp;C2019.12.02-08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8"/>
      <headerFooter alignWithMargins="0">
        <oddHeader>&amp;C2019.12.02-08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9"/>
      <headerFooter alignWithMargins="0">
        <oddHeader>&amp;C2019.12.02-08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0"/>
      <headerFooter alignWithMargins="0">
        <oddHeader>&amp;C2019.12.02-08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1"/>
      <headerFooter alignWithMargins="0">
        <oddHeader>&amp;C2019.12.02-08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2"/>
      <headerFooter alignWithMargins="0">
        <oddHeader>&amp;C2019.12.02-08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8" scale="95" orientation="landscape" r:id="rId13"/>
  <headerFooter alignWithMargins="0">
    <oddHeader>&amp;C2019.12.02-08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Munka38"/>
  <dimension ref="A1:I140"/>
  <sheetViews>
    <sheetView zoomScale="80" zoomScaleNormal="80" zoomScaleSheetLayoutView="40" workbookViewId="0">
      <pane ySplit="1" topLeftCell="A2" activePane="bottomLeft" state="frozen"/>
      <selection pane="bottomLeft" activeCell="E25" sqref="E25"/>
    </sheetView>
  </sheetViews>
  <sheetFormatPr defaultColWidth="9.140625" defaultRowHeight="12.75" x14ac:dyDescent="0.2"/>
  <cols>
    <col min="1" max="1" width="10.7109375" style="119" customWidth="1"/>
    <col min="2" max="6" width="30.7109375" style="69" customWidth="1"/>
    <col min="7" max="8" width="20.7109375" style="69" customWidth="1"/>
    <col min="9" max="9" width="30.7109375" style="69" customWidth="1"/>
    <col min="10" max="16384" width="9.140625" style="69"/>
  </cols>
  <sheetData>
    <row r="1" spans="1:9" ht="28.5" customHeight="1" thickTop="1" thickBot="1" x14ac:dyDescent="0.25">
      <c r="A1" s="64" t="s">
        <v>1175</v>
      </c>
      <c r="B1" s="65" t="s">
        <v>1176</v>
      </c>
      <c r="C1" s="65" t="s">
        <v>1177</v>
      </c>
      <c r="D1" s="65" t="s">
        <v>1178</v>
      </c>
      <c r="E1" s="65" t="s">
        <v>1179</v>
      </c>
      <c r="F1" s="65" t="s">
        <v>1180</v>
      </c>
      <c r="G1" s="65" t="s">
        <v>1181</v>
      </c>
      <c r="H1" s="67" t="s">
        <v>1182</v>
      </c>
      <c r="I1" s="68"/>
    </row>
    <row r="2" spans="1:9" ht="15" customHeight="1" x14ac:dyDescent="0.2">
      <c r="A2" s="70"/>
      <c r="B2" s="71"/>
      <c r="C2" s="71"/>
      <c r="D2" s="71"/>
      <c r="E2" s="71"/>
      <c r="F2" s="73"/>
      <c r="G2" s="71"/>
      <c r="H2" s="74"/>
      <c r="I2" s="75"/>
    </row>
    <row r="3" spans="1:9" ht="15" customHeight="1" x14ac:dyDescent="0.2">
      <c r="A3" s="76"/>
      <c r="B3" s="77"/>
      <c r="C3" s="77"/>
      <c r="D3" s="77"/>
      <c r="E3" s="77"/>
      <c r="F3" s="79"/>
      <c r="G3" s="77"/>
      <c r="H3" s="80"/>
      <c r="I3" s="75"/>
    </row>
    <row r="4" spans="1:9" ht="15" customHeight="1" x14ac:dyDescent="0.2">
      <c r="A4" s="76" t="s">
        <v>18</v>
      </c>
      <c r="B4" s="77"/>
      <c r="C4" s="77"/>
      <c r="D4" s="77"/>
      <c r="E4" s="77"/>
      <c r="F4" s="79"/>
      <c r="G4" s="77"/>
      <c r="H4" s="80"/>
    </row>
    <row r="5" spans="1:9" ht="15" customHeight="1" x14ac:dyDescent="0.2">
      <c r="A5" s="81" t="s">
        <v>19</v>
      </c>
      <c r="B5" s="77"/>
      <c r="C5" s="77"/>
      <c r="D5" s="77"/>
      <c r="E5" s="77"/>
      <c r="F5" s="79"/>
      <c r="G5" s="77"/>
      <c r="H5" s="80"/>
    </row>
    <row r="6" spans="1:9" ht="15" customHeight="1" x14ac:dyDescent="0.2">
      <c r="A6" s="82"/>
      <c r="B6" s="83"/>
      <c r="C6" s="83"/>
      <c r="D6" s="83"/>
      <c r="E6" s="83"/>
      <c r="F6" s="85"/>
      <c r="G6" s="83"/>
      <c r="H6" s="86"/>
    </row>
    <row r="7" spans="1:9" ht="15" customHeight="1" thickBot="1" x14ac:dyDescent="0.25">
      <c r="A7" s="87" t="s">
        <v>20</v>
      </c>
      <c r="B7" s="88"/>
      <c r="C7" s="88"/>
      <c r="D7" s="88"/>
      <c r="E7" s="88"/>
      <c r="F7" s="90"/>
      <c r="G7" s="88"/>
      <c r="H7" s="91"/>
    </row>
    <row r="8" spans="1:9" ht="15" customHeight="1" thickTop="1" x14ac:dyDescent="0.2">
      <c r="A8" s="82"/>
      <c r="B8" s="77"/>
      <c r="C8" s="77"/>
      <c r="D8" s="77"/>
      <c r="E8" s="77"/>
      <c r="F8" s="79"/>
      <c r="G8" s="77"/>
      <c r="H8" s="80"/>
    </row>
    <row r="9" spans="1:9" ht="15" customHeight="1" x14ac:dyDescent="0.2">
      <c r="A9" s="82"/>
      <c r="B9" s="77"/>
      <c r="C9" s="77"/>
      <c r="D9" s="77"/>
      <c r="E9" s="77"/>
      <c r="F9" s="79"/>
      <c r="G9" s="77"/>
      <c r="H9" s="80"/>
    </row>
    <row r="10" spans="1:9" ht="15" customHeight="1" x14ac:dyDescent="0.2">
      <c r="A10" s="92" t="s">
        <v>18</v>
      </c>
      <c r="B10" s="77"/>
      <c r="C10" s="77"/>
      <c r="D10" s="77"/>
      <c r="E10" s="77"/>
      <c r="F10" s="79"/>
      <c r="G10" s="77"/>
      <c r="H10" s="80"/>
    </row>
    <row r="11" spans="1:9" ht="15" customHeight="1" x14ac:dyDescent="0.2">
      <c r="A11" s="93" t="s">
        <v>30</v>
      </c>
      <c r="B11" s="77"/>
      <c r="C11" s="77"/>
      <c r="D11" s="77"/>
      <c r="E11" s="77"/>
      <c r="F11" s="79"/>
      <c r="G11" s="77"/>
      <c r="H11" s="80"/>
    </row>
    <row r="12" spans="1:9" ht="15" customHeight="1" x14ac:dyDescent="0.2">
      <c r="A12" s="82"/>
      <c r="B12" s="77"/>
      <c r="C12" s="77"/>
      <c r="D12" s="77"/>
      <c r="E12" s="77"/>
      <c r="F12" s="79"/>
      <c r="G12" s="77"/>
      <c r="H12" s="80"/>
    </row>
    <row r="13" spans="1:9" ht="15" customHeight="1" x14ac:dyDescent="0.2">
      <c r="A13" s="82"/>
      <c r="B13" s="83"/>
      <c r="C13" s="83"/>
      <c r="D13" s="83"/>
      <c r="E13" s="83"/>
      <c r="F13" s="85"/>
      <c r="G13" s="83"/>
      <c r="H13" s="86"/>
    </row>
    <row r="14" spans="1:9" ht="15" customHeight="1" thickBot="1" x14ac:dyDescent="0.25">
      <c r="A14" s="87" t="s">
        <v>20</v>
      </c>
      <c r="B14" s="88"/>
      <c r="C14" s="88"/>
      <c r="D14" s="88"/>
      <c r="E14" s="88"/>
      <c r="F14" s="90"/>
      <c r="G14" s="88"/>
      <c r="H14" s="91"/>
    </row>
    <row r="15" spans="1:9" ht="15" customHeight="1" thickTop="1" x14ac:dyDescent="0.2">
      <c r="A15" s="82"/>
      <c r="B15" s="77"/>
      <c r="C15" s="77"/>
      <c r="D15" s="77"/>
      <c r="E15" s="77"/>
      <c r="F15" s="79"/>
      <c r="G15" s="77"/>
      <c r="H15" s="80"/>
    </row>
    <row r="16" spans="1:9" ht="15" customHeight="1" x14ac:dyDescent="0.2">
      <c r="A16" s="82"/>
      <c r="B16" s="77"/>
      <c r="C16" s="77"/>
      <c r="D16" s="77"/>
      <c r="E16" s="77"/>
      <c r="F16" s="79"/>
      <c r="G16" s="77"/>
      <c r="H16" s="80"/>
    </row>
    <row r="17" spans="1:8" ht="15" customHeight="1" x14ac:dyDescent="0.2">
      <c r="A17" s="92" t="s">
        <v>41</v>
      </c>
      <c r="B17" s="77"/>
      <c r="C17" s="77"/>
      <c r="D17" s="77"/>
      <c r="E17" s="77"/>
      <c r="F17" s="79"/>
      <c r="G17" s="77"/>
      <c r="H17" s="80"/>
    </row>
    <row r="18" spans="1:8" ht="15" customHeight="1" x14ac:dyDescent="0.2">
      <c r="A18" s="93" t="s">
        <v>43</v>
      </c>
      <c r="B18" s="77"/>
      <c r="C18" s="77"/>
      <c r="D18" s="77"/>
      <c r="E18" s="77"/>
      <c r="F18" s="79"/>
      <c r="G18" s="77"/>
      <c r="H18" s="80"/>
    </row>
    <row r="19" spans="1:8" x14ac:dyDescent="0.2">
      <c r="A19" s="82"/>
      <c r="B19" s="83"/>
      <c r="C19" s="83"/>
      <c r="D19" s="83"/>
      <c r="E19" s="83"/>
      <c r="F19" s="85"/>
      <c r="G19" s="83"/>
      <c r="H19" s="86"/>
    </row>
    <row r="20" spans="1:8" ht="13.5" thickBot="1" x14ac:dyDescent="0.25">
      <c r="A20" s="87" t="s">
        <v>20</v>
      </c>
      <c r="B20" s="88"/>
      <c r="C20" s="88"/>
      <c r="D20" s="88"/>
      <c r="E20" s="88"/>
      <c r="F20" s="90"/>
      <c r="G20" s="88"/>
      <c r="H20" s="91"/>
    </row>
    <row r="21" spans="1:8" ht="13.5" thickTop="1" x14ac:dyDescent="0.2">
      <c r="A21" s="82"/>
      <c r="B21" s="77"/>
      <c r="C21" s="77"/>
      <c r="D21" s="77"/>
      <c r="E21" s="77"/>
      <c r="F21" s="79"/>
      <c r="G21" s="77"/>
      <c r="H21" s="80"/>
    </row>
    <row r="22" spans="1:8" x14ac:dyDescent="0.2">
      <c r="A22" s="82"/>
      <c r="B22" s="77"/>
      <c r="C22" s="77"/>
      <c r="D22" s="77"/>
      <c r="E22" s="77"/>
      <c r="F22" s="79"/>
      <c r="G22" s="77"/>
      <c r="H22" s="80"/>
    </row>
    <row r="23" spans="1:8" x14ac:dyDescent="0.2">
      <c r="A23" s="92" t="s">
        <v>41</v>
      </c>
      <c r="B23" s="77"/>
      <c r="C23" s="77"/>
      <c r="D23" s="77"/>
      <c r="E23" s="77"/>
      <c r="F23" s="79"/>
      <c r="G23" s="77"/>
      <c r="H23" s="80"/>
    </row>
    <row r="24" spans="1:8" x14ac:dyDescent="0.2">
      <c r="A24" s="93" t="s">
        <v>50</v>
      </c>
      <c r="B24" s="77"/>
      <c r="C24" s="77"/>
      <c r="D24" s="77"/>
      <c r="E24" s="77"/>
      <c r="F24" s="79"/>
      <c r="G24" s="77"/>
      <c r="H24" s="80"/>
    </row>
    <row r="25" spans="1:8" x14ac:dyDescent="0.2">
      <c r="A25" s="82"/>
      <c r="B25" s="77"/>
      <c r="C25" s="77"/>
      <c r="D25" s="77"/>
      <c r="E25" s="77"/>
      <c r="F25" s="79"/>
      <c r="G25" s="77"/>
      <c r="H25" s="80"/>
    </row>
    <row r="26" spans="1:8" x14ac:dyDescent="0.2">
      <c r="A26" s="82"/>
      <c r="B26" s="83"/>
      <c r="C26" s="83"/>
      <c r="D26" s="83"/>
      <c r="E26" s="83"/>
      <c r="F26" s="85"/>
      <c r="G26" s="83"/>
      <c r="H26" s="86"/>
    </row>
    <row r="27" spans="1:8" ht="13.5" thickBot="1" x14ac:dyDescent="0.25">
      <c r="A27" s="87" t="s">
        <v>20</v>
      </c>
      <c r="B27" s="88"/>
      <c r="C27" s="88"/>
      <c r="D27" s="88"/>
      <c r="E27" s="88"/>
      <c r="F27" s="90"/>
      <c r="G27" s="88"/>
      <c r="H27" s="91"/>
    </row>
    <row r="28" spans="1:8" ht="13.5" thickTop="1" x14ac:dyDescent="0.2">
      <c r="A28" s="76"/>
      <c r="B28" s="77"/>
      <c r="C28" s="77"/>
      <c r="D28" s="77"/>
      <c r="E28" s="77"/>
      <c r="F28" s="79"/>
      <c r="G28" s="77"/>
      <c r="H28" s="80"/>
    </row>
    <row r="29" spans="1:8" x14ac:dyDescent="0.2">
      <c r="A29" s="82"/>
      <c r="B29" s="77"/>
      <c r="C29" s="77"/>
      <c r="D29" s="77"/>
      <c r="E29" s="77"/>
      <c r="F29" s="79"/>
      <c r="G29" s="77"/>
      <c r="H29" s="80"/>
    </row>
    <row r="30" spans="1:8" x14ac:dyDescent="0.2">
      <c r="A30" s="92" t="s">
        <v>59</v>
      </c>
      <c r="B30" s="77"/>
      <c r="C30" s="77"/>
      <c r="D30" s="77"/>
      <c r="E30" s="77"/>
      <c r="F30" s="79"/>
      <c r="G30" s="77"/>
      <c r="H30" s="80"/>
    </row>
    <row r="31" spans="1:8" x14ac:dyDescent="0.2">
      <c r="A31" s="93" t="s">
        <v>60</v>
      </c>
      <c r="B31" s="77"/>
      <c r="C31" s="77"/>
      <c r="D31" s="77"/>
      <c r="E31" s="77"/>
      <c r="F31" s="79"/>
      <c r="G31" s="77"/>
      <c r="H31" s="80"/>
    </row>
    <row r="32" spans="1:8" x14ac:dyDescent="0.2">
      <c r="A32" s="92"/>
      <c r="B32" s="77"/>
      <c r="C32" s="77"/>
      <c r="D32" s="77"/>
      <c r="E32" s="77"/>
      <c r="F32" s="79"/>
      <c r="G32" s="77"/>
      <c r="H32" s="80"/>
    </row>
    <row r="33" spans="1:8" x14ac:dyDescent="0.2">
      <c r="A33" s="92"/>
      <c r="B33" s="94"/>
      <c r="C33" s="94"/>
      <c r="D33" s="94"/>
      <c r="E33" s="94"/>
      <c r="F33" s="96"/>
      <c r="G33" s="94"/>
      <c r="H33" s="97"/>
    </row>
    <row r="34" spans="1:8" ht="13.5" thickBot="1" x14ac:dyDescent="0.25">
      <c r="A34" s="87" t="s">
        <v>20</v>
      </c>
      <c r="B34" s="88"/>
      <c r="C34" s="88"/>
      <c r="D34" s="88"/>
      <c r="E34" s="88"/>
      <c r="F34" s="90"/>
      <c r="G34" s="88"/>
      <c r="H34" s="91"/>
    </row>
    <row r="35" spans="1:8" ht="13.5" thickTop="1" x14ac:dyDescent="0.2">
      <c r="A35" s="76"/>
      <c r="B35" s="77"/>
      <c r="C35" s="77"/>
      <c r="D35" s="77"/>
      <c r="E35" s="77"/>
      <c r="F35" s="79"/>
      <c r="G35" s="77"/>
      <c r="H35" s="80"/>
    </row>
    <row r="36" spans="1:8" x14ac:dyDescent="0.2">
      <c r="A36" s="98"/>
      <c r="B36" s="99"/>
      <c r="C36" s="77"/>
      <c r="D36" s="77"/>
      <c r="E36" s="77"/>
      <c r="F36" s="79"/>
      <c r="G36" s="77"/>
      <c r="H36" s="80"/>
    </row>
    <row r="37" spans="1:8" x14ac:dyDescent="0.2">
      <c r="A37" s="92" t="s">
        <v>279</v>
      </c>
      <c r="B37" s="77"/>
      <c r="C37" s="77"/>
      <c r="D37" s="77"/>
      <c r="E37" s="77"/>
      <c r="F37" s="79"/>
      <c r="G37" s="77"/>
      <c r="H37" s="80"/>
    </row>
    <row r="38" spans="1:8" x14ac:dyDescent="0.2">
      <c r="A38" s="93" t="s">
        <v>67</v>
      </c>
      <c r="B38" s="77"/>
      <c r="C38" s="77"/>
      <c r="D38" s="77"/>
      <c r="E38" s="77"/>
      <c r="F38" s="79"/>
      <c r="G38" s="77"/>
      <c r="H38" s="80"/>
    </row>
    <row r="39" spans="1:8" x14ac:dyDescent="0.2">
      <c r="A39" s="92"/>
      <c r="B39" s="83"/>
      <c r="C39" s="83"/>
      <c r="D39" s="83"/>
      <c r="E39" s="83"/>
      <c r="F39" s="85"/>
      <c r="G39" s="83"/>
      <c r="H39" s="86"/>
    </row>
    <row r="40" spans="1:8" ht="13.5" thickBot="1" x14ac:dyDescent="0.25">
      <c r="A40" s="87" t="s">
        <v>20</v>
      </c>
      <c r="B40" s="88"/>
      <c r="C40" s="88"/>
      <c r="D40" s="88"/>
      <c r="E40" s="88"/>
      <c r="F40" s="90"/>
      <c r="G40" s="88"/>
      <c r="H40" s="91"/>
    </row>
    <row r="41" spans="1:8" ht="13.5" thickTop="1" x14ac:dyDescent="0.2">
      <c r="A41" s="76"/>
      <c r="B41" s="100"/>
      <c r="C41" s="100"/>
      <c r="D41" s="100"/>
      <c r="E41" s="100"/>
      <c r="F41" s="102"/>
      <c r="G41" s="100"/>
      <c r="H41" s="103"/>
    </row>
    <row r="42" spans="1:8" x14ac:dyDescent="0.2">
      <c r="A42" s="92" t="s">
        <v>71</v>
      </c>
      <c r="B42" s="100"/>
      <c r="C42" s="100"/>
      <c r="D42" s="100"/>
      <c r="E42" s="100"/>
      <c r="F42" s="102"/>
      <c r="G42" s="100"/>
      <c r="H42" s="103"/>
    </row>
    <row r="43" spans="1:8" x14ac:dyDescent="0.2">
      <c r="A43" s="93" t="s">
        <v>72</v>
      </c>
      <c r="B43" s="104"/>
      <c r="C43" s="104"/>
      <c r="D43" s="104"/>
      <c r="E43" s="104"/>
      <c r="F43" s="106"/>
      <c r="G43" s="104"/>
      <c r="H43" s="107"/>
    </row>
    <row r="44" spans="1:8" ht="13.5" thickBot="1" x14ac:dyDescent="0.25">
      <c r="A44" s="87" t="s">
        <v>20</v>
      </c>
      <c r="B44" s="108"/>
      <c r="C44" s="108"/>
      <c r="D44" s="108"/>
      <c r="E44" s="108"/>
      <c r="F44" s="110"/>
      <c r="G44" s="108"/>
      <c r="H44" s="111"/>
    </row>
    <row r="45" spans="1:8" ht="13.5" thickTop="1" x14ac:dyDescent="0.2">
      <c r="A45" s="112" t="s">
        <v>280</v>
      </c>
      <c r="B45" s="113"/>
      <c r="C45" s="113"/>
      <c r="D45" s="113"/>
      <c r="E45" s="113"/>
      <c r="F45" s="113"/>
      <c r="G45" s="113"/>
      <c r="H45" s="113"/>
    </row>
    <row r="46" spans="1:8" x14ac:dyDescent="0.2">
      <c r="A46" s="114" t="s">
        <v>282</v>
      </c>
      <c r="B46" s="113"/>
      <c r="C46" s="113"/>
      <c r="D46" s="113"/>
      <c r="E46" s="113"/>
      <c r="F46" s="113"/>
      <c r="G46" s="113"/>
      <c r="H46" s="113"/>
    </row>
    <row r="47" spans="1:8" x14ac:dyDescent="0.2">
      <c r="A47" s="115"/>
      <c r="B47" s="113"/>
      <c r="C47" s="113"/>
      <c r="D47" s="113"/>
      <c r="E47" s="113"/>
      <c r="F47" s="113"/>
      <c r="G47" s="113"/>
      <c r="H47" s="113"/>
    </row>
    <row r="48" spans="1:8" x14ac:dyDescent="0.2">
      <c r="A48" s="115"/>
      <c r="B48" s="113"/>
      <c r="C48" s="113"/>
      <c r="D48" s="113"/>
      <c r="E48" s="113"/>
      <c r="F48" s="113"/>
      <c r="G48" s="113"/>
      <c r="H48" s="113"/>
    </row>
    <row r="49" spans="1:8" x14ac:dyDescent="0.2">
      <c r="A49" s="115"/>
      <c r="B49" s="113"/>
      <c r="C49" s="113"/>
      <c r="D49" s="113"/>
      <c r="E49" s="113"/>
      <c r="F49" s="113"/>
      <c r="G49" s="113"/>
      <c r="H49" s="113"/>
    </row>
    <row r="50" spans="1:8" x14ac:dyDescent="0.2">
      <c r="A50" s="115"/>
      <c r="B50" s="116"/>
      <c r="C50" s="116"/>
      <c r="D50" s="116"/>
      <c r="E50" s="116"/>
      <c r="F50" s="116"/>
      <c r="G50" s="116"/>
      <c r="H50" s="116"/>
    </row>
    <row r="51" spans="1:8" x14ac:dyDescent="0.2">
      <c r="A51" s="117"/>
      <c r="B51" s="116"/>
      <c r="C51" s="116"/>
      <c r="D51" s="116"/>
      <c r="E51" s="116"/>
      <c r="F51" s="116"/>
      <c r="G51" s="116"/>
      <c r="H51" s="116"/>
    </row>
    <row r="52" spans="1:8" x14ac:dyDescent="0.2">
      <c r="A52" s="117"/>
      <c r="B52" s="116"/>
      <c r="C52" s="116"/>
      <c r="D52" s="116"/>
      <c r="E52" s="116"/>
      <c r="F52" s="116"/>
      <c r="G52" s="116"/>
      <c r="H52" s="116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5"/>
      <c r="B59" s="118"/>
      <c r="C59" s="118"/>
      <c r="D59" s="118"/>
      <c r="E59" s="118"/>
      <c r="F59" s="118"/>
      <c r="G59" s="118"/>
      <c r="H59" s="118"/>
    </row>
    <row r="60" spans="1:8" x14ac:dyDescent="0.2">
      <c r="A60" s="117"/>
      <c r="B60" s="118"/>
      <c r="C60" s="118"/>
      <c r="D60" s="118"/>
      <c r="E60" s="118"/>
      <c r="F60" s="118"/>
      <c r="G60" s="118"/>
      <c r="H60" s="118"/>
    </row>
    <row r="61" spans="1:8" x14ac:dyDescent="0.2">
      <c r="A61" s="117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"/>
      <headerFooter alignWithMargins="0">
        <oddHeader>&amp;C2019.12.09-15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2"/>
      <headerFooter alignWithMargins="0">
        <oddHeader>&amp;C2019.12.09-15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3"/>
      <headerFooter alignWithMargins="0">
        <oddHeader>&amp;C2019.12.09-15</oddHeader>
      </headerFooter>
    </customSheetView>
    <customSheetView guid="{4B58F0A9-071E-4376-B7AD-463366669E19}" scale="80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4"/>
      <headerFooter alignWithMargins="0">
        <oddHeader>&amp;C2019.12.09-15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&amp;C2019.12.09-15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6"/>
      <headerFooter alignWithMargins="0">
        <oddHeader>&amp;C2019.12.09-15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7"/>
      <headerFooter alignWithMargins="0">
        <oddHeader>&amp;C2019.12.09-15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8"/>
      <headerFooter alignWithMargins="0">
        <oddHeader>&amp;C2019.12.09-15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9"/>
      <headerFooter alignWithMargins="0">
        <oddHeader>&amp;C2019.12.09-15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0"/>
      <headerFooter alignWithMargins="0">
        <oddHeader>&amp;C2019.12.09-15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1"/>
      <headerFooter alignWithMargins="0">
        <oddHeader>&amp;C2019.12.09-15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2"/>
      <headerFooter alignWithMargins="0">
        <oddHeader>&amp;C2019.12.09-15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8" scale="95" orientation="landscape" r:id="rId13"/>
  <headerFooter alignWithMargins="0">
    <oddHeader>&amp;C2019.12.09-15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Munka39"/>
  <dimension ref="A1:I140"/>
  <sheetViews>
    <sheetView zoomScale="80" zoomScaleNormal="80" zoomScaleSheetLayoutView="40" workbookViewId="0">
      <pane ySplit="1" topLeftCell="A2" activePane="bottomLeft" state="frozen"/>
      <selection pane="bottomLeft" activeCell="E25" sqref="E25"/>
    </sheetView>
  </sheetViews>
  <sheetFormatPr defaultColWidth="9.140625" defaultRowHeight="12.75" x14ac:dyDescent="0.2"/>
  <cols>
    <col min="1" max="1" width="10.7109375" style="119" customWidth="1"/>
    <col min="2" max="6" width="30.7109375" style="69" customWidth="1"/>
    <col min="7" max="8" width="20.7109375" style="69" customWidth="1"/>
    <col min="9" max="9" width="30.7109375" style="69" customWidth="1"/>
    <col min="10" max="16384" width="9.140625" style="69"/>
  </cols>
  <sheetData>
    <row r="1" spans="1:9" ht="28.5" customHeight="1" thickTop="1" thickBot="1" x14ac:dyDescent="0.25">
      <c r="A1" s="64" t="s">
        <v>1183</v>
      </c>
      <c r="B1" s="65" t="s">
        <v>1184</v>
      </c>
      <c r="C1" s="65" t="s">
        <v>1185</v>
      </c>
      <c r="D1" s="65" t="s">
        <v>1186</v>
      </c>
      <c r="E1" s="65" t="s">
        <v>1187</v>
      </c>
      <c r="F1" s="65" t="s">
        <v>1188</v>
      </c>
      <c r="G1" s="67" t="s">
        <v>1189</v>
      </c>
      <c r="H1" s="67" t="s">
        <v>1190</v>
      </c>
      <c r="I1" s="68"/>
    </row>
    <row r="2" spans="1:9" ht="15" customHeight="1" x14ac:dyDescent="0.2">
      <c r="A2" s="70"/>
      <c r="B2" s="71"/>
      <c r="C2" s="71"/>
      <c r="D2" s="71"/>
      <c r="E2" s="71"/>
      <c r="F2" s="73"/>
      <c r="G2" s="74"/>
      <c r="H2" s="74"/>
      <c r="I2" s="75"/>
    </row>
    <row r="3" spans="1:9" ht="15" customHeight="1" x14ac:dyDescent="0.2">
      <c r="A3" s="76"/>
      <c r="B3" s="77"/>
      <c r="C3" s="77"/>
      <c r="D3" s="77"/>
      <c r="E3" s="77"/>
      <c r="F3" s="79"/>
      <c r="G3" s="80"/>
      <c r="H3" s="80"/>
      <c r="I3" s="75"/>
    </row>
    <row r="4" spans="1:9" ht="15" customHeight="1" x14ac:dyDescent="0.2">
      <c r="A4" s="76" t="s">
        <v>18</v>
      </c>
      <c r="B4" s="77"/>
      <c r="C4" s="77"/>
      <c r="D4" s="77"/>
      <c r="E4" s="77"/>
      <c r="F4" s="79"/>
      <c r="G4" s="80"/>
      <c r="H4" s="80"/>
    </row>
    <row r="5" spans="1:9" ht="15" customHeight="1" x14ac:dyDescent="0.2">
      <c r="A5" s="81" t="s">
        <v>19</v>
      </c>
      <c r="B5" s="77"/>
      <c r="C5" s="77"/>
      <c r="D5" s="77"/>
      <c r="E5" s="77"/>
      <c r="F5" s="79"/>
      <c r="G5" s="80"/>
      <c r="H5" s="80"/>
    </row>
    <row r="6" spans="1:9" ht="15" customHeight="1" x14ac:dyDescent="0.2">
      <c r="A6" s="82"/>
      <c r="B6" s="83"/>
      <c r="C6" s="83"/>
      <c r="D6" s="83"/>
      <c r="E6" s="83"/>
      <c r="F6" s="85"/>
      <c r="G6" s="86"/>
      <c r="H6" s="86"/>
    </row>
    <row r="7" spans="1:9" ht="15" customHeight="1" thickBot="1" x14ac:dyDescent="0.25">
      <c r="A7" s="87" t="s">
        <v>20</v>
      </c>
      <c r="B7" s="88"/>
      <c r="C7" s="88"/>
      <c r="D7" s="88"/>
      <c r="E7" s="88"/>
      <c r="F7" s="90"/>
      <c r="G7" s="91"/>
      <c r="H7" s="91"/>
    </row>
    <row r="8" spans="1:9" ht="15" customHeight="1" thickTop="1" x14ac:dyDescent="0.2">
      <c r="A8" s="82"/>
      <c r="B8" s="77"/>
      <c r="C8" s="77"/>
      <c r="D8" s="77"/>
      <c r="E8" s="77"/>
      <c r="F8" s="79"/>
      <c r="G8" s="80"/>
      <c r="H8" s="80"/>
    </row>
    <row r="9" spans="1:9" ht="15" customHeight="1" x14ac:dyDescent="0.2">
      <c r="A9" s="82"/>
      <c r="B9" s="77"/>
      <c r="C9" s="77"/>
      <c r="D9" s="77"/>
      <c r="E9" s="77"/>
      <c r="F9" s="79"/>
      <c r="G9" s="80"/>
      <c r="H9" s="80"/>
    </row>
    <row r="10" spans="1:9" ht="15" customHeight="1" x14ac:dyDescent="0.2">
      <c r="A10" s="92" t="s">
        <v>18</v>
      </c>
      <c r="B10" s="77"/>
      <c r="C10" s="77"/>
      <c r="D10" s="77"/>
      <c r="E10" s="77"/>
      <c r="F10" s="79"/>
      <c r="G10" s="80"/>
      <c r="H10" s="80"/>
    </row>
    <row r="11" spans="1:9" ht="15" customHeight="1" x14ac:dyDescent="0.2">
      <c r="A11" s="93" t="s">
        <v>30</v>
      </c>
      <c r="B11" s="77"/>
      <c r="C11" s="77"/>
      <c r="D11" s="77"/>
      <c r="E11" s="77"/>
      <c r="F11" s="79"/>
      <c r="G11" s="80"/>
      <c r="H11" s="80"/>
    </row>
    <row r="12" spans="1:9" ht="15" customHeight="1" x14ac:dyDescent="0.2">
      <c r="A12" s="82"/>
      <c r="B12" s="77"/>
      <c r="C12" s="77"/>
      <c r="D12" s="77"/>
      <c r="E12" s="77"/>
      <c r="F12" s="79"/>
      <c r="G12" s="80"/>
      <c r="H12" s="80"/>
    </row>
    <row r="13" spans="1:9" ht="15" customHeight="1" x14ac:dyDescent="0.2">
      <c r="A13" s="82"/>
      <c r="B13" s="83"/>
      <c r="C13" s="83"/>
      <c r="D13" s="83"/>
      <c r="E13" s="83"/>
      <c r="F13" s="85"/>
      <c r="G13" s="86"/>
      <c r="H13" s="86"/>
    </row>
    <row r="14" spans="1:9" ht="15" customHeight="1" thickBot="1" x14ac:dyDescent="0.25">
      <c r="A14" s="87" t="s">
        <v>20</v>
      </c>
      <c r="B14" s="88"/>
      <c r="C14" s="88"/>
      <c r="D14" s="88"/>
      <c r="E14" s="88"/>
      <c r="F14" s="90"/>
      <c r="G14" s="91"/>
      <c r="H14" s="91"/>
    </row>
    <row r="15" spans="1:9" ht="15" customHeight="1" thickTop="1" x14ac:dyDescent="0.2">
      <c r="A15" s="82"/>
      <c r="B15" s="77"/>
      <c r="C15" s="77"/>
      <c r="D15" s="77"/>
      <c r="E15" s="77"/>
      <c r="F15" s="79"/>
      <c r="G15" s="80"/>
      <c r="H15" s="80"/>
    </row>
    <row r="16" spans="1:9" ht="15" customHeight="1" x14ac:dyDescent="0.2">
      <c r="A16" s="82"/>
      <c r="B16" s="77"/>
      <c r="C16" s="77"/>
      <c r="D16" s="77"/>
      <c r="E16" s="77"/>
      <c r="F16" s="79"/>
      <c r="G16" s="80"/>
      <c r="H16" s="80"/>
    </row>
    <row r="17" spans="1:8" ht="15" customHeight="1" x14ac:dyDescent="0.2">
      <c r="A17" s="92" t="s">
        <v>41</v>
      </c>
      <c r="B17" s="77"/>
      <c r="C17" s="77"/>
      <c r="D17" s="77"/>
      <c r="E17" s="77"/>
      <c r="F17" s="79"/>
      <c r="G17" s="80"/>
      <c r="H17" s="80"/>
    </row>
    <row r="18" spans="1:8" ht="15" customHeight="1" x14ac:dyDescent="0.2">
      <c r="A18" s="93" t="s">
        <v>43</v>
      </c>
      <c r="B18" s="77"/>
      <c r="C18" s="77"/>
      <c r="D18" s="77"/>
      <c r="E18" s="77"/>
      <c r="F18" s="79"/>
      <c r="G18" s="80"/>
      <c r="H18" s="80"/>
    </row>
    <row r="19" spans="1:8" x14ac:dyDescent="0.2">
      <c r="A19" s="82"/>
      <c r="B19" s="83"/>
      <c r="C19" s="83"/>
      <c r="D19" s="83"/>
      <c r="E19" s="83"/>
      <c r="F19" s="85"/>
      <c r="G19" s="86"/>
      <c r="H19" s="86"/>
    </row>
    <row r="20" spans="1:8" ht="13.5" thickBot="1" x14ac:dyDescent="0.25">
      <c r="A20" s="87" t="s">
        <v>20</v>
      </c>
      <c r="B20" s="88"/>
      <c r="C20" s="88"/>
      <c r="D20" s="88"/>
      <c r="E20" s="88"/>
      <c r="F20" s="90"/>
      <c r="G20" s="91"/>
      <c r="H20" s="91"/>
    </row>
    <row r="21" spans="1:8" ht="13.5" thickTop="1" x14ac:dyDescent="0.2">
      <c r="A21" s="82"/>
      <c r="B21" s="77"/>
      <c r="C21" s="77"/>
      <c r="D21" s="77"/>
      <c r="E21" s="77"/>
      <c r="F21" s="79"/>
      <c r="G21" s="80"/>
      <c r="H21" s="80"/>
    </row>
    <row r="22" spans="1:8" x14ac:dyDescent="0.2">
      <c r="A22" s="82"/>
      <c r="B22" s="77"/>
      <c r="C22" s="77"/>
      <c r="D22" s="77"/>
      <c r="E22" s="77"/>
      <c r="F22" s="79"/>
      <c r="G22" s="80"/>
      <c r="H22" s="80"/>
    </row>
    <row r="23" spans="1:8" x14ac:dyDescent="0.2">
      <c r="A23" s="92" t="s">
        <v>41</v>
      </c>
      <c r="B23" s="77"/>
      <c r="C23" s="77"/>
      <c r="D23" s="77"/>
      <c r="E23" s="77"/>
      <c r="F23" s="79"/>
      <c r="G23" s="80"/>
      <c r="H23" s="80"/>
    </row>
    <row r="24" spans="1:8" x14ac:dyDescent="0.2">
      <c r="A24" s="93" t="s">
        <v>50</v>
      </c>
      <c r="B24" s="77"/>
      <c r="C24" s="77"/>
      <c r="D24" s="77"/>
      <c r="E24" s="77"/>
      <c r="F24" s="79"/>
      <c r="G24" s="80"/>
      <c r="H24" s="80"/>
    </row>
    <row r="25" spans="1:8" x14ac:dyDescent="0.2">
      <c r="A25" s="82"/>
      <c r="B25" s="77"/>
      <c r="C25" s="77"/>
      <c r="D25" s="77"/>
      <c r="E25" s="77"/>
      <c r="F25" s="79"/>
      <c r="G25" s="80"/>
      <c r="H25" s="80"/>
    </row>
    <row r="26" spans="1:8" x14ac:dyDescent="0.2">
      <c r="A26" s="82"/>
      <c r="B26" s="83"/>
      <c r="C26" s="83"/>
      <c r="D26" s="83"/>
      <c r="E26" s="83"/>
      <c r="F26" s="85"/>
      <c r="G26" s="86"/>
      <c r="H26" s="86"/>
    </row>
    <row r="27" spans="1:8" ht="13.5" thickBot="1" x14ac:dyDescent="0.25">
      <c r="A27" s="87" t="s">
        <v>20</v>
      </c>
      <c r="B27" s="88"/>
      <c r="C27" s="88"/>
      <c r="D27" s="88"/>
      <c r="E27" s="88"/>
      <c r="F27" s="90"/>
      <c r="G27" s="91"/>
      <c r="H27" s="91"/>
    </row>
    <row r="28" spans="1:8" ht="13.5" thickTop="1" x14ac:dyDescent="0.2">
      <c r="A28" s="76"/>
      <c r="B28" s="77"/>
      <c r="C28" s="77"/>
      <c r="D28" s="77"/>
      <c r="E28" s="77"/>
      <c r="F28" s="79"/>
      <c r="G28" s="80"/>
      <c r="H28" s="80"/>
    </row>
    <row r="29" spans="1:8" x14ac:dyDescent="0.2">
      <c r="A29" s="82"/>
      <c r="B29" s="77"/>
      <c r="C29" s="77"/>
      <c r="D29" s="77"/>
      <c r="E29" s="77"/>
      <c r="F29" s="79"/>
      <c r="G29" s="80"/>
      <c r="H29" s="80"/>
    </row>
    <row r="30" spans="1:8" x14ac:dyDescent="0.2">
      <c r="A30" s="92" t="s">
        <v>59</v>
      </c>
      <c r="B30" s="77"/>
      <c r="C30" s="77"/>
      <c r="D30" s="77"/>
      <c r="E30" s="77"/>
      <c r="F30" s="79"/>
      <c r="G30" s="80"/>
      <c r="H30" s="80"/>
    </row>
    <row r="31" spans="1:8" x14ac:dyDescent="0.2">
      <c r="A31" s="93" t="s">
        <v>60</v>
      </c>
      <c r="B31" s="77"/>
      <c r="C31" s="77"/>
      <c r="D31" s="77"/>
      <c r="E31" s="77"/>
      <c r="F31" s="79"/>
      <c r="G31" s="80"/>
      <c r="H31" s="80"/>
    </row>
    <row r="32" spans="1:8" x14ac:dyDescent="0.2">
      <c r="A32" s="92"/>
      <c r="B32" s="77"/>
      <c r="C32" s="77"/>
      <c r="D32" s="77"/>
      <c r="E32" s="77"/>
      <c r="F32" s="79"/>
      <c r="G32" s="80"/>
      <c r="H32" s="80"/>
    </row>
    <row r="33" spans="1:8" x14ac:dyDescent="0.2">
      <c r="A33" s="92"/>
      <c r="B33" s="94"/>
      <c r="C33" s="94"/>
      <c r="D33" s="94"/>
      <c r="E33" s="94"/>
      <c r="F33" s="96"/>
      <c r="G33" s="97"/>
      <c r="H33" s="97"/>
    </row>
    <row r="34" spans="1:8" ht="13.5" thickBot="1" x14ac:dyDescent="0.25">
      <c r="A34" s="87" t="s">
        <v>20</v>
      </c>
      <c r="B34" s="88"/>
      <c r="C34" s="88"/>
      <c r="D34" s="88"/>
      <c r="E34" s="88"/>
      <c r="F34" s="90"/>
      <c r="G34" s="91"/>
      <c r="H34" s="91"/>
    </row>
    <row r="35" spans="1:8" ht="13.5" thickTop="1" x14ac:dyDescent="0.2">
      <c r="A35" s="76"/>
      <c r="B35" s="77"/>
      <c r="C35" s="77"/>
      <c r="D35" s="77"/>
      <c r="E35" s="77"/>
      <c r="F35" s="79"/>
      <c r="G35" s="80"/>
      <c r="H35" s="80"/>
    </row>
    <row r="36" spans="1:8" x14ac:dyDescent="0.2">
      <c r="A36" s="98"/>
      <c r="B36" s="99"/>
      <c r="C36" s="77"/>
      <c r="D36" s="77"/>
      <c r="E36" s="77"/>
      <c r="F36" s="79"/>
      <c r="G36" s="80"/>
      <c r="H36" s="80"/>
    </row>
    <row r="37" spans="1:8" x14ac:dyDescent="0.2">
      <c r="A37" s="92" t="s">
        <v>279</v>
      </c>
      <c r="B37" s="77"/>
      <c r="C37" s="77"/>
      <c r="D37" s="77"/>
      <c r="E37" s="77"/>
      <c r="F37" s="79"/>
      <c r="G37" s="80"/>
      <c r="H37" s="80"/>
    </row>
    <row r="38" spans="1:8" x14ac:dyDescent="0.2">
      <c r="A38" s="93" t="s">
        <v>67</v>
      </c>
      <c r="B38" s="77"/>
      <c r="C38" s="77"/>
      <c r="D38" s="77"/>
      <c r="E38" s="77"/>
      <c r="F38" s="79"/>
      <c r="G38" s="80"/>
      <c r="H38" s="80"/>
    </row>
    <row r="39" spans="1:8" x14ac:dyDescent="0.2">
      <c r="A39" s="92"/>
      <c r="B39" s="83"/>
      <c r="C39" s="83"/>
      <c r="D39" s="83"/>
      <c r="E39" s="83"/>
      <c r="F39" s="85"/>
      <c r="G39" s="86"/>
      <c r="H39" s="86"/>
    </row>
    <row r="40" spans="1:8" ht="13.5" thickBot="1" x14ac:dyDescent="0.25">
      <c r="A40" s="87" t="s">
        <v>20</v>
      </c>
      <c r="B40" s="88"/>
      <c r="C40" s="88"/>
      <c r="D40" s="88"/>
      <c r="E40" s="88"/>
      <c r="F40" s="90"/>
      <c r="G40" s="91"/>
      <c r="H40" s="91"/>
    </row>
    <row r="41" spans="1:8" ht="13.5" thickTop="1" x14ac:dyDescent="0.2">
      <c r="A41" s="76"/>
      <c r="B41" s="100"/>
      <c r="C41" s="100"/>
      <c r="D41" s="100"/>
      <c r="E41" s="100"/>
      <c r="F41" s="102"/>
      <c r="G41" s="103"/>
      <c r="H41" s="103"/>
    </row>
    <row r="42" spans="1:8" x14ac:dyDescent="0.2">
      <c r="A42" s="92" t="s">
        <v>71</v>
      </c>
      <c r="B42" s="100"/>
      <c r="C42" s="100"/>
      <c r="D42" s="100"/>
      <c r="E42" s="100"/>
      <c r="F42" s="102"/>
      <c r="G42" s="103"/>
      <c r="H42" s="103"/>
    </row>
    <row r="43" spans="1:8" x14ac:dyDescent="0.2">
      <c r="A43" s="93" t="s">
        <v>72</v>
      </c>
      <c r="B43" s="104"/>
      <c r="C43" s="104"/>
      <c r="D43" s="104"/>
      <c r="E43" s="104"/>
      <c r="F43" s="106"/>
      <c r="G43" s="107"/>
      <c r="H43" s="107"/>
    </row>
    <row r="44" spans="1:8" ht="13.5" thickBot="1" x14ac:dyDescent="0.25">
      <c r="A44" s="87" t="s">
        <v>20</v>
      </c>
      <c r="B44" s="108"/>
      <c r="C44" s="108"/>
      <c r="D44" s="108"/>
      <c r="E44" s="108"/>
      <c r="F44" s="110"/>
      <c r="G44" s="111"/>
      <c r="H44" s="111"/>
    </row>
    <row r="45" spans="1:8" ht="13.5" thickTop="1" x14ac:dyDescent="0.2">
      <c r="A45" s="112" t="s">
        <v>280</v>
      </c>
      <c r="B45" s="113"/>
      <c r="C45" s="113"/>
      <c r="D45" s="113"/>
      <c r="E45" s="113"/>
      <c r="F45" s="113"/>
      <c r="G45" s="113"/>
      <c r="H45" s="113"/>
    </row>
    <row r="46" spans="1:8" x14ac:dyDescent="0.2">
      <c r="A46" s="114" t="s">
        <v>282</v>
      </c>
      <c r="B46" s="113"/>
      <c r="C46" s="113"/>
      <c r="D46" s="113"/>
      <c r="E46" s="113"/>
      <c r="F46" s="113"/>
      <c r="G46" s="113"/>
      <c r="H46" s="113"/>
    </row>
    <row r="47" spans="1:8" x14ac:dyDescent="0.2">
      <c r="A47" s="115"/>
      <c r="B47" s="113"/>
      <c r="C47" s="113"/>
      <c r="D47" s="113"/>
      <c r="E47" s="113"/>
      <c r="F47" s="113"/>
      <c r="G47" s="113"/>
      <c r="H47" s="113"/>
    </row>
    <row r="48" spans="1:8" x14ac:dyDescent="0.2">
      <c r="A48" s="115"/>
      <c r="B48" s="113"/>
      <c r="C48" s="113"/>
      <c r="D48" s="113"/>
      <c r="E48" s="113"/>
      <c r="F48" s="113"/>
      <c r="G48" s="113"/>
      <c r="H48" s="113"/>
    </row>
    <row r="49" spans="1:8" x14ac:dyDescent="0.2">
      <c r="A49" s="115"/>
      <c r="B49" s="113"/>
      <c r="C49" s="113"/>
      <c r="D49" s="113"/>
      <c r="E49" s="113"/>
      <c r="F49" s="113"/>
      <c r="G49" s="113"/>
      <c r="H49" s="113"/>
    </row>
    <row r="50" spans="1:8" x14ac:dyDescent="0.2">
      <c r="A50" s="115"/>
      <c r="B50" s="116"/>
      <c r="C50" s="116"/>
      <c r="D50" s="116"/>
      <c r="E50" s="116"/>
      <c r="F50" s="116"/>
      <c r="G50" s="116"/>
      <c r="H50" s="116"/>
    </row>
    <row r="51" spans="1:8" x14ac:dyDescent="0.2">
      <c r="A51" s="117"/>
      <c r="B51" s="116"/>
      <c r="C51" s="116"/>
      <c r="D51" s="116"/>
      <c r="E51" s="116"/>
      <c r="F51" s="116"/>
      <c r="G51" s="116"/>
      <c r="H51" s="116"/>
    </row>
    <row r="52" spans="1:8" x14ac:dyDescent="0.2">
      <c r="A52" s="117"/>
      <c r="B52" s="116"/>
      <c r="C52" s="116"/>
      <c r="D52" s="116"/>
      <c r="E52" s="116"/>
      <c r="F52" s="116"/>
      <c r="G52" s="116"/>
      <c r="H52" s="116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5"/>
      <c r="B59" s="118"/>
      <c r="C59" s="118"/>
      <c r="D59" s="118"/>
      <c r="E59" s="118"/>
      <c r="F59" s="118"/>
      <c r="G59" s="118"/>
      <c r="H59" s="118"/>
    </row>
    <row r="60" spans="1:8" x14ac:dyDescent="0.2">
      <c r="A60" s="117"/>
      <c r="B60" s="118"/>
      <c r="C60" s="118"/>
      <c r="D60" s="118"/>
      <c r="E60" s="118"/>
      <c r="F60" s="118"/>
      <c r="G60" s="118"/>
      <c r="H60" s="118"/>
    </row>
    <row r="61" spans="1:8" x14ac:dyDescent="0.2">
      <c r="A61" s="117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"/>
      <headerFooter alignWithMargins="0">
        <oddHeader>&amp;C2019.12.16-22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2"/>
      <headerFooter alignWithMargins="0">
        <oddHeader>&amp;C2019.12.16-22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3"/>
      <headerFooter alignWithMargins="0">
        <oddHeader>&amp;C2019.12.16-22</oddHeader>
      </headerFooter>
    </customSheetView>
    <customSheetView guid="{4B58F0A9-071E-4376-B7AD-463366669E19}" scale="80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4"/>
      <headerFooter alignWithMargins="0">
        <oddHeader>&amp;C2019.12.16-22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&amp;C2019.12.16-22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6"/>
      <headerFooter alignWithMargins="0">
        <oddHeader>&amp;C2019.12.16-22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7"/>
      <headerFooter alignWithMargins="0">
        <oddHeader>&amp;C2019.12.16-22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8"/>
      <headerFooter alignWithMargins="0">
        <oddHeader>&amp;C2019.12.16-22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9"/>
      <headerFooter alignWithMargins="0">
        <oddHeader>&amp;C2019.12.16-22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0"/>
      <headerFooter alignWithMargins="0">
        <oddHeader>&amp;C2019.12.16-22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1"/>
      <headerFooter alignWithMargins="0">
        <oddHeader>&amp;C2019.12.16-22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2"/>
      <headerFooter alignWithMargins="0">
        <oddHeader>&amp;C2019.12.16-22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8" scale="95" orientation="landscape" r:id="rId13"/>
  <headerFooter alignWithMargins="0">
    <oddHeader>&amp;C2019.12.16-22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Munka40"/>
  <dimension ref="A1:I140"/>
  <sheetViews>
    <sheetView zoomScale="80" zoomScaleNormal="80" zoomScaleSheetLayoutView="40" workbookViewId="0">
      <pane ySplit="1" topLeftCell="A2" activePane="bottomLeft" state="frozen"/>
      <selection pane="bottomLeft" activeCell="E25" sqref="E25"/>
    </sheetView>
  </sheetViews>
  <sheetFormatPr defaultColWidth="9.140625" defaultRowHeight="12.75" x14ac:dyDescent="0.2"/>
  <cols>
    <col min="1" max="1" width="10.7109375" style="119" customWidth="1"/>
    <col min="2" max="6" width="30.7109375" style="69" customWidth="1"/>
    <col min="7" max="8" width="20.7109375" style="69" customWidth="1"/>
    <col min="9" max="9" width="30.7109375" style="69" customWidth="1"/>
    <col min="10" max="16384" width="9.140625" style="69"/>
  </cols>
  <sheetData>
    <row r="1" spans="1:9" ht="28.5" customHeight="1" thickTop="1" thickBot="1" x14ac:dyDescent="0.25">
      <c r="A1" s="64" t="s">
        <v>1191</v>
      </c>
      <c r="B1" s="65" t="s">
        <v>1192</v>
      </c>
      <c r="C1" s="67" t="s">
        <v>1193</v>
      </c>
      <c r="D1" s="66" t="s">
        <v>1194</v>
      </c>
      <c r="E1" s="66" t="s">
        <v>1195</v>
      </c>
      <c r="F1" s="67" t="s">
        <v>1196</v>
      </c>
      <c r="G1" s="67" t="s">
        <v>1197</v>
      </c>
      <c r="H1" s="67" t="s">
        <v>1198</v>
      </c>
      <c r="I1" s="68"/>
    </row>
    <row r="2" spans="1:9" ht="15" customHeight="1" x14ac:dyDescent="0.2">
      <c r="A2" s="70"/>
      <c r="B2" s="71"/>
      <c r="C2" s="74"/>
      <c r="D2" s="72"/>
      <c r="E2" s="72"/>
      <c r="F2" s="74"/>
      <c r="G2" s="74"/>
      <c r="H2" s="74"/>
      <c r="I2" s="75"/>
    </row>
    <row r="3" spans="1:9" ht="15" customHeight="1" x14ac:dyDescent="0.2">
      <c r="A3" s="76"/>
      <c r="B3" s="77"/>
      <c r="C3" s="80"/>
      <c r="D3" s="78"/>
      <c r="E3" s="78"/>
      <c r="F3" s="80"/>
      <c r="G3" s="80"/>
      <c r="H3" s="80"/>
      <c r="I3" s="75"/>
    </row>
    <row r="4" spans="1:9" ht="15" customHeight="1" x14ac:dyDescent="0.2">
      <c r="A4" s="76" t="s">
        <v>18</v>
      </c>
      <c r="B4" s="77"/>
      <c r="C4" s="80"/>
      <c r="D4" s="78"/>
      <c r="E4" s="78"/>
      <c r="F4" s="80"/>
      <c r="G4" s="80"/>
      <c r="H4" s="80"/>
    </row>
    <row r="5" spans="1:9" ht="15" customHeight="1" x14ac:dyDescent="0.2">
      <c r="A5" s="81" t="s">
        <v>19</v>
      </c>
      <c r="B5" s="77"/>
      <c r="C5" s="80"/>
      <c r="D5" s="78"/>
      <c r="E5" s="78"/>
      <c r="F5" s="80"/>
      <c r="G5" s="80"/>
      <c r="H5" s="80"/>
    </row>
    <row r="6" spans="1:9" ht="15" customHeight="1" x14ac:dyDescent="0.2">
      <c r="A6" s="82"/>
      <c r="B6" s="83"/>
      <c r="C6" s="86"/>
      <c r="D6" s="84"/>
      <c r="E6" s="84"/>
      <c r="F6" s="86"/>
      <c r="G6" s="86"/>
      <c r="H6" s="86"/>
    </row>
    <row r="7" spans="1:9" ht="15" customHeight="1" thickBot="1" x14ac:dyDescent="0.25">
      <c r="A7" s="87" t="s">
        <v>20</v>
      </c>
      <c r="B7" s="88"/>
      <c r="C7" s="91"/>
      <c r="D7" s="89"/>
      <c r="E7" s="89"/>
      <c r="F7" s="91"/>
      <c r="G7" s="91"/>
      <c r="H7" s="91"/>
    </row>
    <row r="8" spans="1:9" ht="15" customHeight="1" thickTop="1" x14ac:dyDescent="0.2">
      <c r="A8" s="82"/>
      <c r="B8" s="77"/>
      <c r="C8" s="80"/>
      <c r="D8" s="78"/>
      <c r="E8" s="78"/>
      <c r="F8" s="80"/>
      <c r="G8" s="80"/>
      <c r="H8" s="80"/>
    </row>
    <row r="9" spans="1:9" ht="15" customHeight="1" x14ac:dyDescent="0.2">
      <c r="A9" s="82"/>
      <c r="B9" s="77"/>
      <c r="C9" s="80"/>
      <c r="D9" s="78"/>
      <c r="E9" s="78"/>
      <c r="F9" s="80"/>
      <c r="G9" s="80"/>
      <c r="H9" s="80"/>
    </row>
    <row r="10" spans="1:9" ht="15" customHeight="1" x14ac:dyDescent="0.2">
      <c r="A10" s="92" t="s">
        <v>18</v>
      </c>
      <c r="B10" s="77"/>
      <c r="C10" s="80"/>
      <c r="D10" s="78"/>
      <c r="E10" s="78"/>
      <c r="F10" s="80"/>
      <c r="G10" s="80"/>
      <c r="H10" s="80"/>
    </row>
    <row r="11" spans="1:9" ht="15" customHeight="1" x14ac:dyDescent="0.2">
      <c r="A11" s="93" t="s">
        <v>30</v>
      </c>
      <c r="B11" s="77"/>
      <c r="C11" s="80"/>
      <c r="D11" s="78"/>
      <c r="E11" s="78"/>
      <c r="F11" s="80"/>
      <c r="G11" s="80"/>
      <c r="H11" s="80"/>
    </row>
    <row r="12" spans="1:9" ht="15" customHeight="1" x14ac:dyDescent="0.2">
      <c r="A12" s="82"/>
      <c r="B12" s="77"/>
      <c r="C12" s="80"/>
      <c r="D12" s="78"/>
      <c r="E12" s="78"/>
      <c r="F12" s="80"/>
      <c r="G12" s="80"/>
      <c r="H12" s="80"/>
    </row>
    <row r="13" spans="1:9" ht="15" customHeight="1" x14ac:dyDescent="0.2">
      <c r="A13" s="82"/>
      <c r="B13" s="83"/>
      <c r="C13" s="86"/>
      <c r="D13" s="84"/>
      <c r="E13" s="84"/>
      <c r="F13" s="86"/>
      <c r="G13" s="86"/>
      <c r="H13" s="86"/>
    </row>
    <row r="14" spans="1:9" ht="15" customHeight="1" thickBot="1" x14ac:dyDescent="0.25">
      <c r="A14" s="87" t="s">
        <v>20</v>
      </c>
      <c r="B14" s="88"/>
      <c r="C14" s="91"/>
      <c r="D14" s="89"/>
      <c r="E14" s="89"/>
      <c r="F14" s="91"/>
      <c r="G14" s="91"/>
      <c r="H14" s="91"/>
    </row>
    <row r="15" spans="1:9" ht="15" customHeight="1" thickTop="1" x14ac:dyDescent="0.2">
      <c r="A15" s="82"/>
      <c r="B15" s="77"/>
      <c r="C15" s="80"/>
      <c r="D15" s="78"/>
      <c r="E15" s="78"/>
      <c r="F15" s="80"/>
      <c r="G15" s="80"/>
      <c r="H15" s="80"/>
    </row>
    <row r="16" spans="1:9" ht="15" customHeight="1" x14ac:dyDescent="0.2">
      <c r="A16" s="82"/>
      <c r="B16" s="77"/>
      <c r="C16" s="80"/>
      <c r="D16" s="78"/>
      <c r="E16" s="78"/>
      <c r="F16" s="80"/>
      <c r="G16" s="80"/>
      <c r="H16" s="80"/>
    </row>
    <row r="17" spans="1:8" ht="15" customHeight="1" x14ac:dyDescent="0.2">
      <c r="A17" s="92" t="s">
        <v>41</v>
      </c>
      <c r="B17" s="77"/>
      <c r="C17" s="80"/>
      <c r="D17" s="78"/>
      <c r="E17" s="78"/>
      <c r="F17" s="80"/>
      <c r="G17" s="80"/>
      <c r="H17" s="80"/>
    </row>
    <row r="18" spans="1:8" ht="15" customHeight="1" x14ac:dyDescent="0.2">
      <c r="A18" s="93" t="s">
        <v>43</v>
      </c>
      <c r="B18" s="77"/>
      <c r="C18" s="80"/>
      <c r="D18" s="78"/>
      <c r="E18" s="78"/>
      <c r="F18" s="80"/>
      <c r="G18" s="80"/>
      <c r="H18" s="80"/>
    </row>
    <row r="19" spans="1:8" x14ac:dyDescent="0.2">
      <c r="A19" s="82"/>
      <c r="B19" s="83"/>
      <c r="C19" s="86"/>
      <c r="D19" s="84"/>
      <c r="E19" s="84"/>
      <c r="F19" s="86"/>
      <c r="G19" s="86"/>
      <c r="H19" s="86"/>
    </row>
    <row r="20" spans="1:8" ht="13.5" thickBot="1" x14ac:dyDescent="0.25">
      <c r="A20" s="87" t="s">
        <v>20</v>
      </c>
      <c r="B20" s="88"/>
      <c r="C20" s="91"/>
      <c r="D20" s="89"/>
      <c r="E20" s="89"/>
      <c r="F20" s="91"/>
      <c r="G20" s="91"/>
      <c r="H20" s="91"/>
    </row>
    <row r="21" spans="1:8" ht="13.5" thickTop="1" x14ac:dyDescent="0.2">
      <c r="A21" s="82"/>
      <c r="B21" s="77"/>
      <c r="C21" s="80"/>
      <c r="D21" s="78"/>
      <c r="E21" s="78"/>
      <c r="F21" s="80"/>
      <c r="G21" s="80"/>
      <c r="H21" s="80"/>
    </row>
    <row r="22" spans="1:8" x14ac:dyDescent="0.2">
      <c r="A22" s="82"/>
      <c r="B22" s="77"/>
      <c r="C22" s="80"/>
      <c r="D22" s="78"/>
      <c r="E22" s="78"/>
      <c r="F22" s="80"/>
      <c r="G22" s="80"/>
      <c r="H22" s="80"/>
    </row>
    <row r="23" spans="1:8" x14ac:dyDescent="0.2">
      <c r="A23" s="92" t="s">
        <v>41</v>
      </c>
      <c r="B23" s="77"/>
      <c r="C23" s="80"/>
      <c r="D23" s="78"/>
      <c r="E23" s="78"/>
      <c r="F23" s="80"/>
      <c r="G23" s="80"/>
      <c r="H23" s="80"/>
    </row>
    <row r="24" spans="1:8" x14ac:dyDescent="0.2">
      <c r="A24" s="93" t="s">
        <v>50</v>
      </c>
      <c r="B24" s="77"/>
      <c r="C24" s="80"/>
      <c r="D24" s="78"/>
      <c r="E24" s="78"/>
      <c r="F24" s="80"/>
      <c r="G24" s="80"/>
      <c r="H24" s="80"/>
    </row>
    <row r="25" spans="1:8" x14ac:dyDescent="0.2">
      <c r="A25" s="82"/>
      <c r="B25" s="77"/>
      <c r="C25" s="80"/>
      <c r="D25" s="78"/>
      <c r="E25" s="78"/>
      <c r="F25" s="80"/>
      <c r="G25" s="80"/>
      <c r="H25" s="80"/>
    </row>
    <row r="26" spans="1:8" x14ac:dyDescent="0.2">
      <c r="A26" s="82"/>
      <c r="B26" s="83"/>
      <c r="C26" s="86"/>
      <c r="D26" s="84"/>
      <c r="E26" s="84"/>
      <c r="F26" s="86"/>
      <c r="G26" s="86"/>
      <c r="H26" s="86"/>
    </row>
    <row r="27" spans="1:8" ht="13.5" thickBot="1" x14ac:dyDescent="0.25">
      <c r="A27" s="87" t="s">
        <v>20</v>
      </c>
      <c r="B27" s="88"/>
      <c r="C27" s="91"/>
      <c r="D27" s="89"/>
      <c r="E27" s="89"/>
      <c r="F27" s="91"/>
      <c r="G27" s="91"/>
      <c r="H27" s="91"/>
    </row>
    <row r="28" spans="1:8" ht="13.5" thickTop="1" x14ac:dyDescent="0.2">
      <c r="A28" s="76"/>
      <c r="B28" s="77"/>
      <c r="C28" s="80"/>
      <c r="D28" s="78"/>
      <c r="E28" s="78"/>
      <c r="F28" s="80"/>
      <c r="G28" s="80"/>
      <c r="H28" s="80"/>
    </row>
    <row r="29" spans="1:8" x14ac:dyDescent="0.2">
      <c r="A29" s="82"/>
      <c r="B29" s="77"/>
      <c r="C29" s="80"/>
      <c r="D29" s="78"/>
      <c r="E29" s="78"/>
      <c r="F29" s="80"/>
      <c r="G29" s="80"/>
      <c r="H29" s="80"/>
    </row>
    <row r="30" spans="1:8" x14ac:dyDescent="0.2">
      <c r="A30" s="92" t="s">
        <v>59</v>
      </c>
      <c r="B30" s="77"/>
      <c r="C30" s="80"/>
      <c r="D30" s="78"/>
      <c r="E30" s="78"/>
      <c r="F30" s="80"/>
      <c r="G30" s="80"/>
      <c r="H30" s="80"/>
    </row>
    <row r="31" spans="1:8" x14ac:dyDescent="0.2">
      <c r="A31" s="93" t="s">
        <v>60</v>
      </c>
      <c r="B31" s="77"/>
      <c r="C31" s="80"/>
      <c r="D31" s="78"/>
      <c r="E31" s="78"/>
      <c r="F31" s="80"/>
      <c r="G31" s="80"/>
      <c r="H31" s="80"/>
    </row>
    <row r="32" spans="1:8" x14ac:dyDescent="0.2">
      <c r="A32" s="92"/>
      <c r="B32" s="77"/>
      <c r="C32" s="80"/>
      <c r="D32" s="78"/>
      <c r="E32" s="78"/>
      <c r="F32" s="80"/>
      <c r="G32" s="80"/>
      <c r="H32" s="80"/>
    </row>
    <row r="33" spans="1:8" x14ac:dyDescent="0.2">
      <c r="A33" s="92"/>
      <c r="B33" s="94"/>
      <c r="C33" s="97"/>
      <c r="D33" s="95"/>
      <c r="E33" s="95"/>
      <c r="F33" s="97"/>
      <c r="G33" s="97"/>
      <c r="H33" s="97"/>
    </row>
    <row r="34" spans="1:8" ht="13.5" thickBot="1" x14ac:dyDescent="0.25">
      <c r="A34" s="87" t="s">
        <v>20</v>
      </c>
      <c r="B34" s="88"/>
      <c r="C34" s="91"/>
      <c r="D34" s="89"/>
      <c r="E34" s="89"/>
      <c r="F34" s="91"/>
      <c r="G34" s="91"/>
      <c r="H34" s="91"/>
    </row>
    <row r="35" spans="1:8" ht="13.5" thickTop="1" x14ac:dyDescent="0.2">
      <c r="A35" s="76"/>
      <c r="B35" s="77"/>
      <c r="C35" s="80"/>
      <c r="D35" s="78"/>
      <c r="E35" s="78"/>
      <c r="F35" s="80"/>
      <c r="G35" s="80"/>
      <c r="H35" s="80"/>
    </row>
    <row r="36" spans="1:8" x14ac:dyDescent="0.2">
      <c r="A36" s="98"/>
      <c r="B36" s="99"/>
      <c r="C36" s="80"/>
      <c r="D36" s="78"/>
      <c r="E36" s="78"/>
      <c r="F36" s="80"/>
      <c r="G36" s="80"/>
      <c r="H36" s="80"/>
    </row>
    <row r="37" spans="1:8" x14ac:dyDescent="0.2">
      <c r="A37" s="92" t="s">
        <v>279</v>
      </c>
      <c r="B37" s="77"/>
      <c r="C37" s="80"/>
      <c r="D37" s="78"/>
      <c r="E37" s="78"/>
      <c r="F37" s="80"/>
      <c r="G37" s="80"/>
      <c r="H37" s="80"/>
    </row>
    <row r="38" spans="1:8" x14ac:dyDescent="0.2">
      <c r="A38" s="93" t="s">
        <v>67</v>
      </c>
      <c r="B38" s="77"/>
      <c r="C38" s="80"/>
      <c r="D38" s="78"/>
      <c r="E38" s="78"/>
      <c r="F38" s="80"/>
      <c r="G38" s="80"/>
      <c r="H38" s="80"/>
    </row>
    <row r="39" spans="1:8" x14ac:dyDescent="0.2">
      <c r="A39" s="92"/>
      <c r="B39" s="83"/>
      <c r="C39" s="86"/>
      <c r="D39" s="84"/>
      <c r="E39" s="84"/>
      <c r="F39" s="86"/>
      <c r="G39" s="86"/>
      <c r="H39" s="86"/>
    </row>
    <row r="40" spans="1:8" ht="13.5" thickBot="1" x14ac:dyDescent="0.25">
      <c r="A40" s="87" t="s">
        <v>20</v>
      </c>
      <c r="B40" s="88"/>
      <c r="C40" s="91"/>
      <c r="D40" s="89"/>
      <c r="E40" s="89"/>
      <c r="F40" s="91"/>
      <c r="G40" s="91"/>
      <c r="H40" s="91"/>
    </row>
    <row r="41" spans="1:8" ht="13.5" thickTop="1" x14ac:dyDescent="0.2">
      <c r="A41" s="76"/>
      <c r="B41" s="100"/>
      <c r="C41" s="103"/>
      <c r="D41" s="101"/>
      <c r="E41" s="101"/>
      <c r="F41" s="103"/>
      <c r="G41" s="103"/>
      <c r="H41" s="103"/>
    </row>
    <row r="42" spans="1:8" x14ac:dyDescent="0.2">
      <c r="A42" s="92" t="s">
        <v>71</v>
      </c>
      <c r="B42" s="100"/>
      <c r="C42" s="103"/>
      <c r="D42" s="101"/>
      <c r="E42" s="101"/>
      <c r="F42" s="103"/>
      <c r="G42" s="103"/>
      <c r="H42" s="103"/>
    </row>
    <row r="43" spans="1:8" x14ac:dyDescent="0.2">
      <c r="A43" s="93" t="s">
        <v>72</v>
      </c>
      <c r="B43" s="104"/>
      <c r="C43" s="107"/>
      <c r="D43" s="105"/>
      <c r="E43" s="105"/>
      <c r="F43" s="107"/>
      <c r="G43" s="107"/>
      <c r="H43" s="107"/>
    </row>
    <row r="44" spans="1:8" ht="13.5" thickBot="1" x14ac:dyDescent="0.25">
      <c r="A44" s="87" t="s">
        <v>20</v>
      </c>
      <c r="B44" s="108"/>
      <c r="C44" s="111"/>
      <c r="D44" s="109"/>
      <c r="E44" s="109"/>
      <c r="F44" s="111"/>
      <c r="G44" s="111"/>
      <c r="H44" s="111"/>
    </row>
    <row r="45" spans="1:8" ht="13.5" thickTop="1" x14ac:dyDescent="0.2">
      <c r="A45" s="112" t="s">
        <v>280</v>
      </c>
      <c r="B45" s="113"/>
      <c r="C45" s="113"/>
      <c r="D45" s="113"/>
      <c r="E45" s="113"/>
      <c r="F45" s="113"/>
      <c r="G45" s="113"/>
      <c r="H45" s="113"/>
    </row>
    <row r="46" spans="1:8" x14ac:dyDescent="0.2">
      <c r="A46" s="114" t="s">
        <v>282</v>
      </c>
      <c r="B46" s="113"/>
      <c r="C46" s="113"/>
      <c r="D46" s="113"/>
      <c r="E46" s="113"/>
      <c r="F46" s="113"/>
      <c r="G46" s="113"/>
      <c r="H46" s="113"/>
    </row>
    <row r="47" spans="1:8" x14ac:dyDescent="0.2">
      <c r="A47" s="115"/>
      <c r="B47" s="113"/>
      <c r="C47" s="113"/>
      <c r="D47" s="113"/>
      <c r="E47" s="113"/>
      <c r="F47" s="113"/>
      <c r="G47" s="113"/>
      <c r="H47" s="113"/>
    </row>
    <row r="48" spans="1:8" x14ac:dyDescent="0.2">
      <c r="A48" s="115"/>
      <c r="B48" s="113"/>
      <c r="C48" s="113"/>
      <c r="D48" s="113"/>
      <c r="E48" s="113"/>
      <c r="F48" s="113"/>
      <c r="G48" s="113"/>
      <c r="H48" s="113"/>
    </row>
    <row r="49" spans="1:8" x14ac:dyDescent="0.2">
      <c r="A49" s="115"/>
      <c r="B49" s="113"/>
      <c r="C49" s="113"/>
      <c r="D49" s="113"/>
      <c r="E49" s="113"/>
      <c r="F49" s="113"/>
      <c r="G49" s="113"/>
      <c r="H49" s="113"/>
    </row>
    <row r="50" spans="1:8" x14ac:dyDescent="0.2">
      <c r="A50" s="115"/>
      <c r="B50" s="116"/>
      <c r="C50" s="116"/>
      <c r="D50" s="116"/>
      <c r="E50" s="116"/>
      <c r="F50" s="116"/>
      <c r="G50" s="116"/>
      <c r="H50" s="116"/>
    </row>
    <row r="51" spans="1:8" x14ac:dyDescent="0.2">
      <c r="A51" s="117"/>
      <c r="B51" s="116"/>
      <c r="C51" s="116"/>
      <c r="D51" s="116"/>
      <c r="E51" s="116"/>
      <c r="F51" s="116"/>
      <c r="G51" s="116"/>
      <c r="H51" s="116"/>
    </row>
    <row r="52" spans="1:8" x14ac:dyDescent="0.2">
      <c r="A52" s="117"/>
      <c r="B52" s="116"/>
      <c r="C52" s="116"/>
      <c r="D52" s="116"/>
      <c r="E52" s="116"/>
      <c r="F52" s="116"/>
      <c r="G52" s="116"/>
      <c r="H52" s="116"/>
    </row>
    <row r="53" spans="1:8" x14ac:dyDescent="0.2">
      <c r="A53" s="115"/>
      <c r="B53" s="118"/>
      <c r="C53" s="118"/>
      <c r="D53" s="118"/>
      <c r="E53" s="118"/>
      <c r="F53" s="118"/>
      <c r="G53" s="118"/>
      <c r="H53" s="118"/>
    </row>
    <row r="54" spans="1:8" x14ac:dyDescent="0.2">
      <c r="A54" s="115"/>
      <c r="B54" s="118"/>
      <c r="C54" s="118"/>
      <c r="D54" s="118"/>
      <c r="E54" s="118"/>
      <c r="F54" s="118"/>
      <c r="G54" s="118"/>
      <c r="H54" s="118"/>
    </row>
    <row r="55" spans="1:8" x14ac:dyDescent="0.2">
      <c r="A55" s="115"/>
      <c r="B55" s="118"/>
      <c r="C55" s="118"/>
      <c r="D55" s="118"/>
      <c r="E55" s="118"/>
      <c r="F55" s="118"/>
      <c r="G55" s="118"/>
      <c r="H55" s="118"/>
    </row>
    <row r="56" spans="1:8" x14ac:dyDescent="0.2">
      <c r="A56" s="115"/>
      <c r="B56" s="118"/>
      <c r="C56" s="118"/>
      <c r="D56" s="118"/>
      <c r="E56" s="118"/>
      <c r="F56" s="118"/>
      <c r="G56" s="118"/>
      <c r="H56" s="118"/>
    </row>
    <row r="57" spans="1:8" x14ac:dyDescent="0.2">
      <c r="A57" s="115"/>
      <c r="B57" s="118"/>
      <c r="C57" s="118"/>
      <c r="D57" s="118"/>
      <c r="E57" s="118"/>
      <c r="F57" s="118"/>
      <c r="G57" s="118"/>
      <c r="H57" s="118"/>
    </row>
    <row r="58" spans="1:8" x14ac:dyDescent="0.2">
      <c r="A58" s="115"/>
      <c r="B58" s="118"/>
      <c r="C58" s="118"/>
      <c r="D58" s="118"/>
      <c r="E58" s="118"/>
      <c r="F58" s="118"/>
      <c r="G58" s="118"/>
      <c r="H58" s="118"/>
    </row>
    <row r="59" spans="1:8" x14ac:dyDescent="0.2">
      <c r="A59" s="115"/>
      <c r="B59" s="118"/>
      <c r="C59" s="118"/>
      <c r="D59" s="118"/>
      <c r="E59" s="118"/>
      <c r="F59" s="118"/>
      <c r="G59" s="118"/>
      <c r="H59" s="118"/>
    </row>
    <row r="60" spans="1:8" x14ac:dyDescent="0.2">
      <c r="A60" s="117"/>
      <c r="B60" s="118"/>
      <c r="C60" s="118"/>
      <c r="D60" s="118"/>
      <c r="E60" s="118"/>
      <c r="F60" s="118"/>
      <c r="G60" s="118"/>
      <c r="H60" s="118"/>
    </row>
    <row r="61" spans="1:8" x14ac:dyDescent="0.2">
      <c r="A61" s="117"/>
      <c r="B61" s="118"/>
      <c r="C61" s="118"/>
      <c r="D61" s="118"/>
      <c r="E61" s="118"/>
      <c r="F61" s="118"/>
      <c r="G61" s="118"/>
      <c r="H61" s="118"/>
    </row>
    <row r="62" spans="1:8" x14ac:dyDescent="0.2">
      <c r="A62" s="115"/>
      <c r="B62" s="118"/>
      <c r="C62" s="118"/>
      <c r="D62" s="118"/>
      <c r="E62" s="118"/>
      <c r="F62" s="118"/>
      <c r="G62" s="118"/>
      <c r="H62" s="118"/>
    </row>
    <row r="63" spans="1:8" x14ac:dyDescent="0.2">
      <c r="A63" s="115"/>
      <c r="B63" s="118"/>
      <c r="C63" s="118"/>
      <c r="D63" s="118"/>
      <c r="E63" s="118"/>
      <c r="F63" s="118"/>
      <c r="G63" s="118"/>
      <c r="H63" s="118"/>
    </row>
    <row r="64" spans="1:8" x14ac:dyDescent="0.2">
      <c r="A64" s="115"/>
      <c r="B64" s="118"/>
      <c r="C64" s="118"/>
      <c r="D64" s="118"/>
      <c r="E64" s="118"/>
      <c r="F64" s="118"/>
      <c r="G64" s="118"/>
      <c r="H64" s="118"/>
    </row>
    <row r="65" spans="1:8" x14ac:dyDescent="0.2">
      <c r="A65" s="115"/>
      <c r="B65" s="118"/>
      <c r="C65" s="118"/>
      <c r="D65" s="118"/>
      <c r="E65" s="118"/>
      <c r="F65" s="118"/>
      <c r="G65" s="118"/>
      <c r="H65" s="118"/>
    </row>
    <row r="66" spans="1:8" x14ac:dyDescent="0.2">
      <c r="A66" s="115"/>
      <c r="B66" s="118"/>
      <c r="C66" s="118"/>
      <c r="D66" s="118"/>
      <c r="E66" s="118"/>
      <c r="F66" s="118"/>
      <c r="G66" s="118"/>
      <c r="H66" s="118"/>
    </row>
    <row r="67" spans="1:8" x14ac:dyDescent="0.2">
      <c r="A67" s="115"/>
      <c r="B67" s="118"/>
      <c r="C67" s="118"/>
      <c r="D67" s="118"/>
      <c r="E67" s="118"/>
      <c r="F67" s="118"/>
      <c r="G67" s="118"/>
      <c r="H67" s="118"/>
    </row>
    <row r="68" spans="1:8" x14ac:dyDescent="0.2">
      <c r="A68" s="115"/>
      <c r="B68" s="118"/>
      <c r="C68" s="118"/>
      <c r="D68" s="118"/>
      <c r="E68" s="118"/>
      <c r="F68" s="118"/>
      <c r="G68" s="118"/>
      <c r="H68" s="118"/>
    </row>
    <row r="69" spans="1:8" x14ac:dyDescent="0.2">
      <c r="A69" s="115"/>
      <c r="B69" s="118"/>
      <c r="C69" s="118"/>
      <c r="D69" s="118"/>
      <c r="E69" s="118"/>
      <c r="F69" s="118"/>
      <c r="G69" s="118"/>
      <c r="H69" s="118"/>
    </row>
    <row r="70" spans="1:8" x14ac:dyDescent="0.2">
      <c r="A70" s="115"/>
      <c r="B70" s="118"/>
      <c r="C70" s="118"/>
      <c r="D70" s="118"/>
      <c r="E70" s="118"/>
      <c r="F70" s="118"/>
      <c r="G70" s="118"/>
      <c r="H70" s="118"/>
    </row>
    <row r="71" spans="1:8" x14ac:dyDescent="0.2">
      <c r="A71" s="115"/>
      <c r="B71" s="118"/>
      <c r="C71" s="118"/>
      <c r="D71" s="118"/>
      <c r="E71" s="118"/>
      <c r="F71" s="118"/>
      <c r="G71" s="118"/>
      <c r="H71" s="118"/>
    </row>
    <row r="72" spans="1:8" x14ac:dyDescent="0.2">
      <c r="A72" s="115"/>
      <c r="B72" s="118"/>
      <c r="C72" s="118"/>
      <c r="D72" s="118"/>
      <c r="E72" s="118"/>
      <c r="F72" s="118"/>
      <c r="G72" s="118"/>
      <c r="H72" s="118"/>
    </row>
    <row r="73" spans="1:8" x14ac:dyDescent="0.2">
      <c r="A73" s="115"/>
      <c r="B73" s="118"/>
      <c r="C73" s="118"/>
      <c r="D73" s="118"/>
      <c r="E73" s="118"/>
      <c r="F73" s="118"/>
      <c r="G73" s="118"/>
      <c r="H73" s="118"/>
    </row>
    <row r="74" spans="1:8" x14ac:dyDescent="0.2">
      <c r="A74" s="115"/>
      <c r="B74" s="118"/>
      <c r="C74" s="118"/>
      <c r="D74" s="118"/>
      <c r="E74" s="118"/>
      <c r="F74" s="118"/>
      <c r="G74" s="118"/>
      <c r="H74" s="118"/>
    </row>
    <row r="75" spans="1:8" x14ac:dyDescent="0.2">
      <c r="A75" s="115"/>
      <c r="B75" s="118"/>
      <c r="C75" s="118"/>
      <c r="D75" s="118"/>
      <c r="E75" s="118"/>
      <c r="F75" s="118"/>
      <c r="G75" s="118"/>
      <c r="H75" s="118"/>
    </row>
    <row r="76" spans="1:8" x14ac:dyDescent="0.2">
      <c r="A76" s="115"/>
      <c r="B76" s="118"/>
      <c r="C76" s="118"/>
      <c r="D76" s="118"/>
      <c r="E76" s="118"/>
      <c r="F76" s="118"/>
      <c r="G76" s="118"/>
      <c r="H76" s="118"/>
    </row>
    <row r="77" spans="1:8" x14ac:dyDescent="0.2">
      <c r="A77" s="115"/>
      <c r="B77" s="118"/>
      <c r="C77" s="118"/>
      <c r="D77" s="118"/>
      <c r="E77" s="118"/>
      <c r="F77" s="118"/>
      <c r="G77" s="118"/>
      <c r="H77" s="118"/>
    </row>
    <row r="78" spans="1:8" x14ac:dyDescent="0.2">
      <c r="A78" s="115"/>
      <c r="B78" s="118"/>
      <c r="C78" s="118"/>
      <c r="D78" s="118"/>
      <c r="E78" s="118"/>
      <c r="F78" s="118"/>
      <c r="G78" s="118"/>
      <c r="H78" s="118"/>
    </row>
    <row r="79" spans="1:8" x14ac:dyDescent="0.2">
      <c r="A79" s="115"/>
      <c r="B79" s="118"/>
      <c r="C79" s="118"/>
      <c r="D79" s="118"/>
      <c r="E79" s="118"/>
      <c r="F79" s="118"/>
      <c r="G79" s="118"/>
      <c r="H79" s="118"/>
    </row>
    <row r="80" spans="1:8" x14ac:dyDescent="0.2">
      <c r="A80" s="115"/>
      <c r="B80" s="118"/>
      <c r="C80" s="118"/>
      <c r="D80" s="118"/>
      <c r="E80" s="118"/>
      <c r="F80" s="118"/>
      <c r="G80" s="118"/>
      <c r="H80" s="118"/>
    </row>
    <row r="81" spans="1:8" x14ac:dyDescent="0.2">
      <c r="A81" s="115"/>
      <c r="B81" s="118"/>
      <c r="C81" s="118"/>
      <c r="D81" s="118"/>
      <c r="E81" s="118"/>
      <c r="F81" s="118"/>
      <c r="G81" s="118"/>
      <c r="H81" s="118"/>
    </row>
    <row r="82" spans="1:8" x14ac:dyDescent="0.2">
      <c r="A82" s="115"/>
      <c r="B82" s="118"/>
      <c r="C82" s="118"/>
      <c r="D82" s="118"/>
      <c r="E82" s="118"/>
      <c r="F82" s="118"/>
      <c r="G82" s="118"/>
      <c r="H82" s="118"/>
    </row>
    <row r="83" spans="1:8" x14ac:dyDescent="0.2">
      <c r="A83" s="115"/>
      <c r="B83" s="118"/>
      <c r="C83" s="118"/>
      <c r="D83" s="118"/>
      <c r="E83" s="118"/>
      <c r="F83" s="118"/>
      <c r="G83" s="118"/>
      <c r="H83" s="118"/>
    </row>
    <row r="84" spans="1:8" x14ac:dyDescent="0.2">
      <c r="A84" s="115"/>
      <c r="B84" s="118"/>
      <c r="C84" s="118"/>
      <c r="D84" s="118"/>
      <c r="E84" s="118"/>
      <c r="F84" s="118"/>
      <c r="G84" s="118"/>
      <c r="H84" s="118"/>
    </row>
    <row r="85" spans="1:8" x14ac:dyDescent="0.2">
      <c r="A85" s="115"/>
      <c r="B85" s="118"/>
      <c r="C85" s="118"/>
      <c r="D85" s="118"/>
      <c r="E85" s="118"/>
      <c r="F85" s="118"/>
      <c r="G85" s="118"/>
      <c r="H85" s="118"/>
    </row>
    <row r="86" spans="1:8" x14ac:dyDescent="0.2">
      <c r="A86" s="115"/>
      <c r="B86" s="118"/>
      <c r="C86" s="118"/>
      <c r="D86" s="118"/>
      <c r="E86" s="118"/>
      <c r="F86" s="118"/>
      <c r="G86" s="118"/>
      <c r="H86" s="118"/>
    </row>
    <row r="87" spans="1:8" x14ac:dyDescent="0.2">
      <c r="A87" s="115"/>
      <c r="B87" s="118"/>
      <c r="C87" s="118"/>
      <c r="D87" s="118"/>
      <c r="E87" s="118"/>
      <c r="F87" s="118"/>
      <c r="G87" s="118"/>
      <c r="H87" s="118"/>
    </row>
    <row r="88" spans="1:8" x14ac:dyDescent="0.2">
      <c r="A88" s="115"/>
      <c r="B88" s="118"/>
      <c r="C88" s="118"/>
      <c r="D88" s="118"/>
      <c r="E88" s="118"/>
      <c r="F88" s="118"/>
      <c r="G88" s="118"/>
      <c r="H88" s="118"/>
    </row>
    <row r="89" spans="1:8" x14ac:dyDescent="0.2">
      <c r="A89" s="115"/>
      <c r="B89" s="118"/>
      <c r="C89" s="118"/>
      <c r="D89" s="118"/>
      <c r="E89" s="118"/>
      <c r="F89" s="118"/>
      <c r="G89" s="118"/>
      <c r="H89" s="118"/>
    </row>
    <row r="90" spans="1:8" x14ac:dyDescent="0.2">
      <c r="A90" s="115"/>
      <c r="B90" s="118"/>
      <c r="C90" s="118"/>
      <c r="D90" s="118"/>
      <c r="E90" s="118"/>
      <c r="F90" s="118"/>
      <c r="G90" s="118"/>
      <c r="H90" s="118"/>
    </row>
    <row r="91" spans="1:8" x14ac:dyDescent="0.2">
      <c r="A91" s="115"/>
      <c r="B91" s="118"/>
      <c r="C91" s="118"/>
      <c r="D91" s="118"/>
      <c r="E91" s="118"/>
      <c r="F91" s="118"/>
      <c r="G91" s="118"/>
      <c r="H91" s="118"/>
    </row>
    <row r="92" spans="1:8" x14ac:dyDescent="0.2">
      <c r="A92" s="115"/>
      <c r="B92" s="118"/>
      <c r="C92" s="118"/>
      <c r="D92" s="118"/>
      <c r="E92" s="118"/>
      <c r="F92" s="118"/>
      <c r="G92" s="118"/>
      <c r="H92" s="118"/>
    </row>
    <row r="93" spans="1:8" x14ac:dyDescent="0.2">
      <c r="A93" s="115"/>
      <c r="B93" s="118"/>
      <c r="C93" s="118"/>
      <c r="D93" s="118"/>
      <c r="E93" s="118"/>
      <c r="F93" s="118"/>
      <c r="G93" s="118"/>
      <c r="H93" s="118"/>
    </row>
    <row r="94" spans="1:8" x14ac:dyDescent="0.2">
      <c r="A94" s="115"/>
      <c r="B94" s="118"/>
      <c r="C94" s="118"/>
      <c r="D94" s="118"/>
      <c r="E94" s="118"/>
      <c r="F94" s="118"/>
      <c r="G94" s="118"/>
      <c r="H94" s="118"/>
    </row>
    <row r="95" spans="1:8" x14ac:dyDescent="0.2">
      <c r="A95" s="115"/>
      <c r="B95" s="118"/>
      <c r="C95" s="118"/>
      <c r="D95" s="118"/>
      <c r="E95" s="118"/>
      <c r="F95" s="118"/>
      <c r="G95" s="118"/>
      <c r="H95" s="118"/>
    </row>
    <row r="96" spans="1:8" x14ac:dyDescent="0.2">
      <c r="A96" s="115"/>
      <c r="B96" s="118"/>
      <c r="C96" s="118"/>
      <c r="D96" s="118"/>
      <c r="E96" s="118"/>
      <c r="F96" s="118"/>
      <c r="G96" s="118"/>
      <c r="H96" s="118"/>
    </row>
    <row r="97" spans="1:8" x14ac:dyDescent="0.2">
      <c r="A97" s="115"/>
      <c r="B97" s="118"/>
      <c r="C97" s="118"/>
      <c r="D97" s="118"/>
      <c r="E97" s="118"/>
      <c r="F97" s="118"/>
      <c r="G97" s="118"/>
      <c r="H97" s="118"/>
    </row>
    <row r="98" spans="1:8" x14ac:dyDescent="0.2">
      <c r="A98" s="115"/>
      <c r="B98" s="118"/>
      <c r="C98" s="118"/>
      <c r="D98" s="118"/>
      <c r="E98" s="118"/>
      <c r="F98" s="118"/>
      <c r="G98" s="118"/>
      <c r="H98" s="118"/>
    </row>
    <row r="99" spans="1:8" x14ac:dyDescent="0.2">
      <c r="A99" s="115"/>
      <c r="B99" s="118"/>
      <c r="C99" s="118"/>
      <c r="D99" s="118"/>
      <c r="E99" s="118"/>
      <c r="F99" s="118"/>
      <c r="G99" s="118"/>
      <c r="H99" s="118"/>
    </row>
    <row r="100" spans="1:8" x14ac:dyDescent="0.2">
      <c r="A100" s="115"/>
      <c r="B100" s="118"/>
      <c r="C100" s="118"/>
      <c r="D100" s="118"/>
      <c r="E100" s="118"/>
      <c r="F100" s="118"/>
      <c r="G100" s="118"/>
      <c r="H100" s="118"/>
    </row>
    <row r="101" spans="1:8" x14ac:dyDescent="0.2">
      <c r="A101" s="115"/>
      <c r="B101" s="118"/>
      <c r="C101" s="118"/>
      <c r="D101" s="118"/>
      <c r="E101" s="118"/>
      <c r="F101" s="118"/>
      <c r="G101" s="118"/>
      <c r="H101" s="118"/>
    </row>
    <row r="102" spans="1:8" x14ac:dyDescent="0.2">
      <c r="A102" s="115"/>
      <c r="B102" s="118"/>
      <c r="C102" s="118"/>
      <c r="D102" s="118"/>
      <c r="E102" s="118"/>
      <c r="F102" s="118"/>
      <c r="G102" s="118"/>
      <c r="H102" s="118"/>
    </row>
    <row r="103" spans="1:8" x14ac:dyDescent="0.2">
      <c r="A103" s="115"/>
      <c r="B103" s="118"/>
      <c r="C103" s="118"/>
      <c r="D103" s="118"/>
      <c r="E103" s="118"/>
      <c r="F103" s="118"/>
      <c r="G103" s="118"/>
      <c r="H103" s="118"/>
    </row>
    <row r="104" spans="1:8" x14ac:dyDescent="0.2">
      <c r="A104" s="115"/>
      <c r="B104" s="118"/>
      <c r="C104" s="118"/>
      <c r="D104" s="118"/>
      <c r="E104" s="118"/>
      <c r="F104" s="118"/>
      <c r="G104" s="118"/>
      <c r="H104" s="118"/>
    </row>
    <row r="105" spans="1:8" x14ac:dyDescent="0.2">
      <c r="A105" s="115"/>
      <c r="B105" s="118"/>
      <c r="C105" s="118"/>
      <c r="D105" s="118"/>
      <c r="E105" s="118"/>
      <c r="F105" s="118"/>
      <c r="G105" s="118"/>
      <c r="H105" s="118"/>
    </row>
    <row r="106" spans="1:8" x14ac:dyDescent="0.2">
      <c r="A106" s="115"/>
      <c r="B106" s="118"/>
      <c r="C106" s="118"/>
      <c r="D106" s="118"/>
      <c r="E106" s="118"/>
      <c r="F106" s="118"/>
      <c r="G106" s="118"/>
      <c r="H106" s="118"/>
    </row>
    <row r="107" spans="1:8" x14ac:dyDescent="0.2">
      <c r="A107" s="115"/>
      <c r="B107" s="118"/>
      <c r="C107" s="118"/>
      <c r="D107" s="118"/>
      <c r="E107" s="118"/>
      <c r="F107" s="118"/>
      <c r="G107" s="118"/>
      <c r="H107" s="118"/>
    </row>
    <row r="108" spans="1:8" x14ac:dyDescent="0.2">
      <c r="A108" s="115"/>
      <c r="B108" s="118"/>
      <c r="C108" s="118"/>
      <c r="D108" s="118"/>
      <c r="E108" s="118"/>
      <c r="F108" s="118"/>
      <c r="G108" s="118"/>
      <c r="H108" s="118"/>
    </row>
    <row r="109" spans="1:8" x14ac:dyDescent="0.2">
      <c r="A109" s="115"/>
      <c r="B109" s="118"/>
      <c r="C109" s="118"/>
      <c r="D109" s="118"/>
      <c r="E109" s="118"/>
      <c r="F109" s="118"/>
      <c r="G109" s="118"/>
      <c r="H109" s="118"/>
    </row>
    <row r="110" spans="1:8" x14ac:dyDescent="0.2">
      <c r="A110" s="115"/>
      <c r="B110" s="118"/>
      <c r="C110" s="118"/>
      <c r="D110" s="118"/>
      <c r="E110" s="118"/>
      <c r="F110" s="118"/>
      <c r="G110" s="118"/>
      <c r="H110" s="118"/>
    </row>
    <row r="111" spans="1:8" x14ac:dyDescent="0.2">
      <c r="A111" s="115"/>
      <c r="B111" s="118"/>
      <c r="C111" s="118"/>
      <c r="D111" s="118"/>
      <c r="E111" s="118"/>
      <c r="F111" s="118"/>
      <c r="G111" s="118"/>
      <c r="H111" s="118"/>
    </row>
    <row r="112" spans="1:8" x14ac:dyDescent="0.2">
      <c r="A112" s="115"/>
      <c r="B112" s="118"/>
      <c r="C112" s="118"/>
      <c r="D112" s="118"/>
      <c r="E112" s="118"/>
      <c r="F112" s="118"/>
      <c r="G112" s="118"/>
      <c r="H112" s="118"/>
    </row>
    <row r="113" spans="1:8" x14ac:dyDescent="0.2">
      <c r="A113" s="115"/>
      <c r="B113" s="118"/>
      <c r="C113" s="118"/>
      <c r="D113" s="118"/>
      <c r="E113" s="118"/>
      <c r="F113" s="118"/>
      <c r="G113" s="118"/>
      <c r="H113" s="118"/>
    </row>
    <row r="114" spans="1:8" x14ac:dyDescent="0.2">
      <c r="A114" s="115"/>
      <c r="B114" s="118"/>
      <c r="C114" s="118"/>
      <c r="D114" s="118"/>
      <c r="E114" s="118"/>
      <c r="F114" s="118"/>
      <c r="G114" s="118"/>
      <c r="H114" s="118"/>
    </row>
    <row r="115" spans="1:8" x14ac:dyDescent="0.2">
      <c r="A115" s="115"/>
      <c r="B115" s="118"/>
      <c r="C115" s="118"/>
      <c r="D115" s="118"/>
      <c r="E115" s="118"/>
      <c r="F115" s="118"/>
      <c r="G115" s="118"/>
      <c r="H115" s="118"/>
    </row>
    <row r="116" spans="1:8" x14ac:dyDescent="0.2">
      <c r="A116" s="115"/>
      <c r="B116" s="118"/>
      <c r="C116" s="118"/>
      <c r="D116" s="118"/>
      <c r="E116" s="118"/>
      <c r="F116" s="118"/>
      <c r="G116" s="118"/>
      <c r="H116" s="118"/>
    </row>
    <row r="117" spans="1:8" x14ac:dyDescent="0.2">
      <c r="A117" s="115"/>
      <c r="B117" s="118"/>
      <c r="C117" s="118"/>
      <c r="D117" s="118"/>
      <c r="E117" s="118"/>
      <c r="F117" s="118"/>
      <c r="G117" s="118"/>
      <c r="H117" s="118"/>
    </row>
    <row r="118" spans="1:8" x14ac:dyDescent="0.2">
      <c r="A118" s="115"/>
      <c r="B118" s="118"/>
      <c r="C118" s="118"/>
      <c r="D118" s="118"/>
      <c r="E118" s="118"/>
      <c r="F118" s="118"/>
      <c r="G118" s="118"/>
      <c r="H118" s="118"/>
    </row>
    <row r="119" spans="1:8" x14ac:dyDescent="0.2">
      <c r="A119" s="115"/>
      <c r="B119" s="118"/>
      <c r="C119" s="118"/>
      <c r="D119" s="118"/>
      <c r="E119" s="118"/>
      <c r="F119" s="118"/>
      <c r="G119" s="118"/>
      <c r="H119" s="118"/>
    </row>
    <row r="120" spans="1:8" x14ac:dyDescent="0.2">
      <c r="A120" s="115"/>
      <c r="B120" s="118"/>
      <c r="C120" s="118"/>
      <c r="D120" s="118"/>
      <c r="E120" s="118"/>
      <c r="F120" s="118"/>
      <c r="G120" s="118"/>
      <c r="H120" s="118"/>
    </row>
    <row r="121" spans="1:8" x14ac:dyDescent="0.2">
      <c r="A121" s="115"/>
      <c r="B121" s="118"/>
      <c r="C121" s="118"/>
      <c r="D121" s="118"/>
      <c r="E121" s="118"/>
      <c r="F121" s="118"/>
      <c r="G121" s="118"/>
      <c r="H121" s="118"/>
    </row>
    <row r="122" spans="1:8" x14ac:dyDescent="0.2">
      <c r="A122" s="115"/>
      <c r="B122" s="118"/>
      <c r="C122" s="118"/>
      <c r="D122" s="118"/>
      <c r="E122" s="118"/>
      <c r="F122" s="118"/>
      <c r="G122" s="118"/>
      <c r="H122" s="118"/>
    </row>
    <row r="123" spans="1:8" x14ac:dyDescent="0.2">
      <c r="A123" s="115"/>
      <c r="B123" s="118"/>
      <c r="C123" s="118"/>
      <c r="D123" s="118"/>
      <c r="E123" s="118"/>
      <c r="F123" s="118"/>
      <c r="G123" s="118"/>
      <c r="H123" s="118"/>
    </row>
    <row r="124" spans="1:8" x14ac:dyDescent="0.2">
      <c r="A124" s="115"/>
      <c r="B124" s="118"/>
      <c r="C124" s="118"/>
      <c r="D124" s="118"/>
      <c r="E124" s="118"/>
      <c r="F124" s="118"/>
      <c r="G124" s="118"/>
      <c r="H124" s="118"/>
    </row>
    <row r="125" spans="1:8" x14ac:dyDescent="0.2">
      <c r="A125" s="115"/>
      <c r="B125" s="118"/>
      <c r="C125" s="118"/>
      <c r="D125" s="118"/>
      <c r="E125" s="118"/>
      <c r="F125" s="118"/>
      <c r="G125" s="118"/>
      <c r="H125" s="118"/>
    </row>
    <row r="126" spans="1:8" x14ac:dyDescent="0.2">
      <c r="A126" s="115"/>
      <c r="B126" s="118"/>
      <c r="C126" s="118"/>
      <c r="D126" s="118"/>
      <c r="E126" s="118"/>
      <c r="F126" s="118"/>
      <c r="G126" s="118"/>
      <c r="H126" s="118"/>
    </row>
    <row r="127" spans="1:8" x14ac:dyDescent="0.2">
      <c r="A127" s="115"/>
      <c r="B127" s="118"/>
      <c r="C127" s="118"/>
      <c r="D127" s="118"/>
      <c r="E127" s="118"/>
      <c r="F127" s="118"/>
      <c r="G127" s="118"/>
      <c r="H127" s="118"/>
    </row>
    <row r="128" spans="1:8" x14ac:dyDescent="0.2">
      <c r="A128" s="115"/>
      <c r="B128" s="118"/>
      <c r="C128" s="118"/>
      <c r="D128" s="118"/>
      <c r="E128" s="118"/>
      <c r="F128" s="118"/>
      <c r="G128" s="118"/>
      <c r="H128" s="118"/>
    </row>
    <row r="129" spans="1:8" x14ac:dyDescent="0.2">
      <c r="A129" s="115"/>
      <c r="B129" s="118"/>
      <c r="C129" s="118"/>
      <c r="D129" s="118"/>
      <c r="E129" s="118"/>
      <c r="F129" s="118"/>
      <c r="G129" s="118"/>
      <c r="H129" s="118"/>
    </row>
    <row r="130" spans="1:8" x14ac:dyDescent="0.2">
      <c r="A130" s="115"/>
      <c r="B130" s="118"/>
      <c r="C130" s="118"/>
      <c r="D130" s="118"/>
      <c r="E130" s="118"/>
      <c r="F130" s="118"/>
      <c r="G130" s="118"/>
      <c r="H130" s="118"/>
    </row>
    <row r="131" spans="1:8" x14ac:dyDescent="0.2">
      <c r="A131" s="115"/>
      <c r="B131" s="118"/>
      <c r="C131" s="118"/>
      <c r="D131" s="118"/>
      <c r="E131" s="118"/>
      <c r="F131" s="118"/>
      <c r="G131" s="118"/>
      <c r="H131" s="118"/>
    </row>
    <row r="132" spans="1:8" x14ac:dyDescent="0.2">
      <c r="A132" s="115"/>
      <c r="B132" s="118"/>
      <c r="C132" s="118"/>
      <c r="D132" s="118"/>
      <c r="E132" s="118"/>
      <c r="F132" s="118"/>
      <c r="G132" s="118"/>
      <c r="H132" s="118"/>
    </row>
    <row r="133" spans="1:8" x14ac:dyDescent="0.2">
      <c r="A133" s="115"/>
      <c r="B133" s="118"/>
      <c r="C133" s="118"/>
      <c r="D133" s="118"/>
      <c r="E133" s="118"/>
      <c r="F133" s="118"/>
      <c r="G133" s="118"/>
      <c r="H133" s="118"/>
    </row>
    <row r="134" spans="1:8" x14ac:dyDescent="0.2">
      <c r="A134" s="115"/>
      <c r="B134" s="118"/>
      <c r="C134" s="118"/>
      <c r="D134" s="118"/>
      <c r="E134" s="118"/>
      <c r="F134" s="118"/>
      <c r="G134" s="118"/>
      <c r="H134" s="118"/>
    </row>
    <row r="135" spans="1:8" x14ac:dyDescent="0.2">
      <c r="A135" s="115"/>
      <c r="B135" s="118"/>
      <c r="C135" s="118"/>
      <c r="D135" s="118"/>
      <c r="E135" s="118"/>
      <c r="F135" s="118"/>
      <c r="G135" s="118"/>
      <c r="H135" s="118"/>
    </row>
    <row r="136" spans="1:8" x14ac:dyDescent="0.2">
      <c r="A136" s="115"/>
      <c r="B136" s="118"/>
      <c r="C136" s="118"/>
      <c r="D136" s="118"/>
      <c r="E136" s="118"/>
      <c r="F136" s="118"/>
      <c r="G136" s="118"/>
      <c r="H136" s="118"/>
    </row>
    <row r="137" spans="1:8" x14ac:dyDescent="0.2">
      <c r="A137" s="115"/>
      <c r="B137" s="118"/>
      <c r="C137" s="118"/>
      <c r="D137" s="118"/>
      <c r="E137" s="118"/>
      <c r="F137" s="118"/>
      <c r="G137" s="118"/>
      <c r="H137" s="118"/>
    </row>
    <row r="138" spans="1:8" x14ac:dyDescent="0.2">
      <c r="A138" s="115"/>
      <c r="B138" s="118"/>
      <c r="C138" s="118"/>
      <c r="D138" s="118"/>
      <c r="E138" s="118"/>
      <c r="F138" s="118"/>
      <c r="G138" s="118"/>
      <c r="H138" s="118"/>
    </row>
    <row r="139" spans="1:8" x14ac:dyDescent="0.2">
      <c r="A139" s="115"/>
      <c r="B139" s="118"/>
      <c r="C139" s="118"/>
      <c r="D139" s="118"/>
      <c r="E139" s="118"/>
      <c r="F139" s="118"/>
      <c r="G139" s="118"/>
      <c r="H139" s="118"/>
    </row>
    <row r="140" spans="1:8" x14ac:dyDescent="0.2">
      <c r="A140" s="115"/>
      <c r="B140" s="118"/>
      <c r="C140" s="118"/>
      <c r="D140" s="118"/>
      <c r="E140" s="118"/>
      <c r="F140" s="118"/>
      <c r="G140" s="118"/>
      <c r="H140" s="118"/>
    </row>
  </sheetData>
  <customSheetViews>
    <customSheetView guid="{413CAF1F-62E2-41F5-A4C6-2C341582DC5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"/>
      <headerFooter alignWithMargins="0">
        <oddHeader>&amp;C2019.12.23-29</oddHeader>
      </headerFooter>
    </customSheetView>
    <customSheetView guid="{46540580-8292-4E21-84A5-B58390F70AE7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2"/>
      <headerFooter alignWithMargins="0">
        <oddHeader>&amp;C2019.12.23-29</oddHeader>
      </headerFooter>
    </customSheetView>
    <customSheetView guid="{07BAD8F1-49B6-40C7-A1B5-B8EF23A4A90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3"/>
      <headerFooter alignWithMargins="0">
        <oddHeader>&amp;C2019.12.23-29</oddHeader>
      </headerFooter>
    </customSheetView>
    <customSheetView guid="{4B58F0A9-071E-4376-B7AD-463366669E19}" scale="80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4"/>
      <headerFooter alignWithMargins="0">
        <oddHeader>&amp;C2019.12.23-29</oddHeader>
      </headerFooter>
    </customSheetView>
    <customSheetView guid="{63A8D7FC-210D-4D74-8AB0-DBA9D993D16B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5"/>
      <headerFooter alignWithMargins="0">
        <oddHeader>&amp;C2019.12.23-29</oddHeader>
      </headerFooter>
    </customSheetView>
    <customSheetView guid="{70878244-3585-447C-8730-0EB8549AE1A6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6"/>
      <headerFooter alignWithMargins="0">
        <oddHeader>&amp;C2019.12.23-29</oddHeader>
      </headerFooter>
    </customSheetView>
    <customSheetView guid="{D4470CD2-528C-41AD-9E69-DB221017C7C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7"/>
      <headerFooter alignWithMargins="0">
        <oddHeader>&amp;C2019.12.23-29</oddHeader>
      </headerFooter>
    </customSheetView>
    <customSheetView guid="{CD08FFCB-5C1E-4FBC-90EE-0F61C4C5D8EE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8"/>
      <headerFooter alignWithMargins="0">
        <oddHeader>&amp;C2019.12.23-29</oddHeader>
      </headerFooter>
    </customSheetView>
    <customSheetView guid="{A47E18E7-D250-4913-909E-65F626A4EC8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9"/>
      <headerFooter alignWithMargins="0">
        <oddHeader>&amp;C2019.12.23-29</oddHeader>
      </headerFooter>
    </customSheetView>
    <customSheetView guid="{4C7C4345-D832-4452-B223-3E4A3FAA8500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0"/>
      <headerFooter alignWithMargins="0">
        <oddHeader>&amp;C2019.12.23-29</oddHeader>
      </headerFooter>
    </customSheetView>
    <customSheetView guid="{F9BF4A8F-31C2-451D-B694-7420019F0BAD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1"/>
      <headerFooter alignWithMargins="0">
        <oddHeader>&amp;C2019.12.23-29</oddHeader>
      </headerFooter>
    </customSheetView>
    <customSheetView guid="{0D091791-6928-48DD-B75F-0677FDB23A54}" scale="80" showPageBreaks="1" printArea="1">
      <pane ySplit="1" topLeftCell="A2" activePane="bottomLeft" state="frozen"/>
      <selection pane="bottomLeft" activeCell="E25" sqref="E25"/>
      <pageMargins left="0" right="0" top="0" bottom="0" header="0" footer="0"/>
      <printOptions gridLines="1"/>
      <pageSetup paperSize="8" scale="95" orientation="landscape" r:id="rId12"/>
      <headerFooter alignWithMargins="0">
        <oddHeader>&amp;C2019.12.23-29</oddHeader>
      </headerFooter>
    </customSheetView>
  </customSheetViews>
  <printOptions gridLines="1"/>
  <pageMargins left="0.51181102362204722" right="0.11811023622047245" top="0.94488188976377963" bottom="0.39370078740157483" header="0.6692913385826772" footer="0.31496062992125984"/>
  <pageSetup paperSize="8" scale="95" orientation="landscape" r:id="rId13"/>
  <headerFooter alignWithMargins="0">
    <oddHeader>&amp;C2019.12.23-29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39</vt:i4>
      </vt:variant>
      <vt:variant>
        <vt:lpstr>Névvel ellátott tartományok</vt:lpstr>
      </vt:variant>
      <vt:variant>
        <vt:i4>76</vt:i4>
      </vt:variant>
    </vt:vector>
  </HeadingPairs>
  <TitlesOfParts>
    <vt:vector size="115" baseType="lpstr">
      <vt:lpstr>04.01-04.07</vt:lpstr>
      <vt:lpstr>04.08-04.14</vt:lpstr>
      <vt:lpstr>04.15-04.21</vt:lpstr>
      <vt:lpstr>04.22-04.28</vt:lpstr>
      <vt:lpstr>04.29-05.05</vt:lpstr>
      <vt:lpstr>05.06-05.12</vt:lpstr>
      <vt:lpstr>05.13-05.19</vt:lpstr>
      <vt:lpstr>05.20-05.26</vt:lpstr>
      <vt:lpstr>05.27-06.02</vt:lpstr>
      <vt:lpstr>06.03-06.09</vt:lpstr>
      <vt:lpstr>06.10-06.16</vt:lpstr>
      <vt:lpstr>06.17-06.23</vt:lpstr>
      <vt:lpstr>06.24-06.30</vt:lpstr>
      <vt:lpstr>07.01-07.07</vt:lpstr>
      <vt:lpstr>07.08-07.14</vt:lpstr>
      <vt:lpstr>07.15-07.21</vt:lpstr>
      <vt:lpstr>07.22-07.28</vt:lpstr>
      <vt:lpstr>07.29-08.04</vt:lpstr>
      <vt:lpstr>08.05-08.11</vt:lpstr>
      <vt:lpstr>08.12-08.18</vt:lpstr>
      <vt:lpstr>08.19-08.25</vt:lpstr>
      <vt:lpstr>08.26-09.01</vt:lpstr>
      <vt:lpstr>09.02-09.08</vt:lpstr>
      <vt:lpstr>09.09-09.15</vt:lpstr>
      <vt:lpstr>09.16-09.22</vt:lpstr>
      <vt:lpstr>09.23-09.29</vt:lpstr>
      <vt:lpstr>09.30-10.06</vt:lpstr>
      <vt:lpstr>10.07-10.13</vt:lpstr>
      <vt:lpstr>10.14-10.20</vt:lpstr>
      <vt:lpstr>10.21-10.27</vt:lpstr>
      <vt:lpstr>10.28-11.03</vt:lpstr>
      <vt:lpstr>11.04-11.10</vt:lpstr>
      <vt:lpstr>11.11-11.17</vt:lpstr>
      <vt:lpstr>11.18-11.24</vt:lpstr>
      <vt:lpstr>11.25-12.01</vt:lpstr>
      <vt:lpstr>12.02-12.08</vt:lpstr>
      <vt:lpstr>12.09-12.15</vt:lpstr>
      <vt:lpstr>12.16-12.22</vt:lpstr>
      <vt:lpstr>12.23-12.29</vt:lpstr>
      <vt:lpstr>'04.01-04.07'!Nyomtatási_cím</vt:lpstr>
      <vt:lpstr>'04.15-04.21'!Nyomtatási_cím</vt:lpstr>
      <vt:lpstr>'04.22-04.28'!Nyomtatási_cím</vt:lpstr>
      <vt:lpstr>'04.29-05.05'!Nyomtatási_cím</vt:lpstr>
      <vt:lpstr>'05.06-05.12'!Nyomtatási_cím</vt:lpstr>
      <vt:lpstr>'05.13-05.19'!Nyomtatási_cím</vt:lpstr>
      <vt:lpstr>'05.20-05.26'!Nyomtatási_cím</vt:lpstr>
      <vt:lpstr>'05.27-06.02'!Nyomtatási_cím</vt:lpstr>
      <vt:lpstr>'06.03-06.09'!Nyomtatási_cím</vt:lpstr>
      <vt:lpstr>'06.10-06.16'!Nyomtatási_cím</vt:lpstr>
      <vt:lpstr>'06.17-06.23'!Nyomtatási_cím</vt:lpstr>
      <vt:lpstr>'06.24-06.30'!Nyomtatási_cím</vt:lpstr>
      <vt:lpstr>'07.01-07.07'!Nyomtatási_cím</vt:lpstr>
      <vt:lpstr>'07.08-07.14'!Nyomtatási_cím</vt:lpstr>
      <vt:lpstr>'07.15-07.21'!Nyomtatási_cím</vt:lpstr>
      <vt:lpstr>'07.22-07.28'!Nyomtatási_cím</vt:lpstr>
      <vt:lpstr>'07.29-08.04'!Nyomtatási_cím</vt:lpstr>
      <vt:lpstr>'08.05-08.11'!Nyomtatási_cím</vt:lpstr>
      <vt:lpstr>'08.12-08.18'!Nyomtatási_cím</vt:lpstr>
      <vt:lpstr>'08.19-08.25'!Nyomtatási_cím</vt:lpstr>
      <vt:lpstr>'08.26-09.01'!Nyomtatási_cím</vt:lpstr>
      <vt:lpstr>'09.02-09.08'!Nyomtatási_cím</vt:lpstr>
      <vt:lpstr>'09.09-09.15'!Nyomtatási_cím</vt:lpstr>
      <vt:lpstr>'09.16-09.22'!Nyomtatási_cím</vt:lpstr>
      <vt:lpstr>'09.23-09.29'!Nyomtatási_cím</vt:lpstr>
      <vt:lpstr>'09.30-10.06'!Nyomtatási_cím</vt:lpstr>
      <vt:lpstr>'10.07-10.13'!Nyomtatási_cím</vt:lpstr>
      <vt:lpstr>'10.14-10.20'!Nyomtatási_cím</vt:lpstr>
      <vt:lpstr>'10.21-10.27'!Nyomtatási_cím</vt:lpstr>
      <vt:lpstr>'10.28-11.03'!Nyomtatási_cím</vt:lpstr>
      <vt:lpstr>'11.04-11.10'!Nyomtatási_cím</vt:lpstr>
      <vt:lpstr>'11.11-11.17'!Nyomtatási_cím</vt:lpstr>
      <vt:lpstr>'11.18-11.24'!Nyomtatási_cím</vt:lpstr>
      <vt:lpstr>'11.25-12.01'!Nyomtatási_cím</vt:lpstr>
      <vt:lpstr>'12.02-12.08'!Nyomtatási_cím</vt:lpstr>
      <vt:lpstr>'12.09-12.15'!Nyomtatási_cím</vt:lpstr>
      <vt:lpstr>'12.16-12.22'!Nyomtatási_cím</vt:lpstr>
      <vt:lpstr>'12.23-12.29'!Nyomtatási_cím</vt:lpstr>
      <vt:lpstr>'04.01-04.07'!Nyomtatási_terület</vt:lpstr>
      <vt:lpstr>'04.15-04.21'!Nyomtatási_terület</vt:lpstr>
      <vt:lpstr>'04.22-04.28'!Nyomtatási_terület</vt:lpstr>
      <vt:lpstr>'04.29-05.05'!Nyomtatási_terület</vt:lpstr>
      <vt:lpstr>'05.06-05.12'!Nyomtatási_terület</vt:lpstr>
      <vt:lpstr>'05.13-05.19'!Nyomtatási_terület</vt:lpstr>
      <vt:lpstr>'05.20-05.26'!Nyomtatási_terület</vt:lpstr>
      <vt:lpstr>'05.27-06.02'!Nyomtatási_terület</vt:lpstr>
      <vt:lpstr>'06.03-06.09'!Nyomtatási_terület</vt:lpstr>
      <vt:lpstr>'06.10-06.16'!Nyomtatási_terület</vt:lpstr>
      <vt:lpstr>'06.17-06.23'!Nyomtatási_terület</vt:lpstr>
      <vt:lpstr>'06.24-06.30'!Nyomtatási_terület</vt:lpstr>
      <vt:lpstr>'07.01-07.07'!Nyomtatási_terület</vt:lpstr>
      <vt:lpstr>'07.08-07.14'!Nyomtatási_terület</vt:lpstr>
      <vt:lpstr>'07.15-07.21'!Nyomtatási_terület</vt:lpstr>
      <vt:lpstr>'07.22-07.28'!Nyomtatási_terület</vt:lpstr>
      <vt:lpstr>'07.29-08.04'!Nyomtatási_terület</vt:lpstr>
      <vt:lpstr>'08.05-08.11'!Nyomtatási_terület</vt:lpstr>
      <vt:lpstr>'08.12-08.18'!Nyomtatási_terület</vt:lpstr>
      <vt:lpstr>'08.19-08.25'!Nyomtatási_terület</vt:lpstr>
      <vt:lpstr>'08.26-09.01'!Nyomtatási_terület</vt:lpstr>
      <vt:lpstr>'09.02-09.08'!Nyomtatási_terület</vt:lpstr>
      <vt:lpstr>'09.09-09.15'!Nyomtatási_terület</vt:lpstr>
      <vt:lpstr>'09.16-09.22'!Nyomtatási_terület</vt:lpstr>
      <vt:lpstr>'09.23-09.29'!Nyomtatási_terület</vt:lpstr>
      <vt:lpstr>'09.30-10.06'!Nyomtatási_terület</vt:lpstr>
      <vt:lpstr>'10.07-10.13'!Nyomtatási_terület</vt:lpstr>
      <vt:lpstr>'10.14-10.20'!Nyomtatási_terület</vt:lpstr>
      <vt:lpstr>'10.21-10.27'!Nyomtatási_terület</vt:lpstr>
      <vt:lpstr>'10.28-11.03'!Nyomtatási_terület</vt:lpstr>
      <vt:lpstr>'11.04-11.10'!Nyomtatási_terület</vt:lpstr>
      <vt:lpstr>'11.11-11.17'!Nyomtatási_terület</vt:lpstr>
      <vt:lpstr>'11.18-11.24'!Nyomtatási_terület</vt:lpstr>
      <vt:lpstr>'11.25-12.01'!Nyomtatási_terület</vt:lpstr>
      <vt:lpstr>'12.02-12.08'!Nyomtatási_terület</vt:lpstr>
      <vt:lpstr>'12.09-12.15'!Nyomtatási_terület</vt:lpstr>
      <vt:lpstr>'12.16-12.22'!Nyomtatási_terület</vt:lpstr>
      <vt:lpstr>'12.23-12.29'!Nyomtatási_terület</vt:lpstr>
    </vt:vector>
  </TitlesOfParts>
  <Manager/>
  <Company>Geodézia kft.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Nagy József</dc:creator>
  <cp:keywords/>
  <dc:description/>
  <cp:lastModifiedBy>Borbás Tibor</cp:lastModifiedBy>
  <cp:revision/>
  <dcterms:created xsi:type="dcterms:W3CDTF">2008-03-06T07:21:35Z</dcterms:created>
  <dcterms:modified xsi:type="dcterms:W3CDTF">2019-09-01T20:20:53Z</dcterms:modified>
  <cp:category/>
  <cp:contentStatus/>
</cp:coreProperties>
</file>